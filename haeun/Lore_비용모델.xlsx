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단가" sheetId="2" state="visible" r:id="rId4"/>
    <sheet name="사용가정" sheetId="3" state="visible" r:id="rId5"/>
    <sheet name="비용추정" sheetId="4" state="visible" r:id="rId6"/>
    <sheet name="크레딧설계" sheetId="5" state="visible" r:id="rId7"/>
    <sheet name="요금제손익" sheetId="6" state="visible" r:id="rId8"/>
    <sheet name="민감도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<sst xmlns="http://schemas.openxmlformats.org/spreadsheetml/2006/main" count="365" uniqueCount="295">
  <si>
    <r>
      <rPr>
        <b val="true"/>
        <sz val="16"/>
        <rFont val="Arial"/>
        <family val="0"/>
        <charset val="1"/>
      </rPr>
      <t xml:space="preserve">Lore — </t>
    </r>
    <r>
      <rPr>
        <b val="true"/>
        <sz val="16"/>
        <rFont val="Noto Sans CJK SC"/>
        <family val="2"/>
      </rPr>
      <t xml:space="preserve">원가 및 사용량 기반 비용 추정</t>
    </r>
  </si>
  <si>
    <r>
      <rPr>
        <i val="true"/>
        <sz val="9"/>
        <color rgb="FF595959"/>
        <rFont val="Noto Sans CJK SC"/>
        <family val="2"/>
      </rPr>
      <t xml:space="preserve">작성 기준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실제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호출 로그 실측치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사용량 가정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노란 셀과 파란 글씨 셀만 수정하면 전체가 다시 계산됩니다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</si>
  <si>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적용 단가 시나리오</t>
  </si>
  <si>
    <r>
      <rPr>
        <i val="true"/>
        <sz val="9"/>
        <color rgb="FF595959"/>
        <rFont val="Noto Sans CJK SC"/>
        <family val="2"/>
      </rPr>
      <t xml:space="preserve">← 단가 시트 </t>
    </r>
    <r>
      <rPr>
        <i val="true"/>
        <sz val="9"/>
        <color rgb="FF595959"/>
        <rFont val="Arial"/>
        <family val="0"/>
        <charset val="1"/>
      </rPr>
      <t xml:space="preserve">B4</t>
    </r>
    <r>
      <rPr>
        <i val="true"/>
        <sz val="9"/>
        <color rgb="FF595959"/>
        <rFont val="Noto Sans CJK SC"/>
        <family val="2"/>
      </rPr>
      <t xml:space="preserve">에서 </t>
    </r>
    <r>
      <rPr>
        <i val="true"/>
        <sz val="9"/>
        <color rgb="FF595959"/>
        <rFont val="Arial"/>
        <family val="0"/>
        <charset val="1"/>
      </rPr>
      <t xml:space="preserve">1/2/3 </t>
    </r>
    <r>
      <rPr>
        <i val="true"/>
        <sz val="9"/>
        <color rgb="FF595959"/>
        <rFont val="Noto Sans CJK SC"/>
        <family val="2"/>
      </rPr>
      <t xml:space="preserve">으로 변경</t>
    </r>
  </si>
  <si>
    <r>
      <rPr>
        <b val="true"/>
        <sz val="12"/>
        <rFont val="Arial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핵심 단가</t>
    </r>
  </si>
  <si>
    <t xml:space="preserve">항목</t>
  </si>
  <si>
    <t xml:space="preserve">적용 모드</t>
  </si>
  <si>
    <t xml:space="preserve">① 실측</t>
  </si>
  <si>
    <t xml:space="preserve">③ 보수</t>
  </si>
  <si>
    <t xml:space="preserve">설명</t>
  </si>
  <si>
    <r>
      <rPr>
        <sz val="10"/>
        <rFont val="Noto Sans CJK SC"/>
        <family val="2"/>
      </rPr>
      <t xml:space="preserve">캐릭터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셋업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스토리 설계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</si>
  <si>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캐릭터당 최초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회만 발생</t>
    </r>
  </si>
  <si>
    <r>
      <rPr>
        <sz val="10"/>
        <rFont val="Noto Sans CJK SC"/>
        <family val="2"/>
      </rPr>
      <t xml:space="preserve">웹툰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컷</t>
    </r>
    <r>
      <rPr>
        <sz val="10"/>
        <rFont val="Arial"/>
        <family val="0"/>
        <charset val="1"/>
      </rPr>
      <t xml:space="preserve">)</t>
    </r>
  </si>
  <si>
    <t xml:space="preserve">캐릭터 재사용 시 화당 원가</t>
  </si>
  <si>
    <r>
      <rPr>
        <sz val="10"/>
        <rFont val="Noto Sans CJK SC"/>
        <family val="2"/>
      </rPr>
      <t xml:space="preserve">유저 첫 경험 총액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캐릭터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</si>
  <si>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신규 유저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명을 온보딩하는 데 드는 원가</t>
    </r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</si>
  <si>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</si>
  <si>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컷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 묶음 단위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재생성 최소 단위</t>
    </r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</si>
  <si>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피드백 반영</t>
    </r>
    <r>
      <rPr>
        <sz val="10"/>
        <rFont val="Arial"/>
        <family val="0"/>
        <charset val="1"/>
      </rPr>
      <t xml:space="preserve">)</t>
    </r>
  </si>
  <si>
    <t xml:space="preserve">프롬프트 재작성 텍스트 콜이 추가로 붙음</t>
  </si>
  <si>
    <t xml:space="preserve">화 콘티 전체 재작성</t>
  </si>
  <si>
    <t xml:space="preserve">스토리가 마음에 안 들 때</t>
  </si>
  <si>
    <r>
      <rPr>
        <sz val="10"/>
        <rFont val="Noto Sans CJK SC"/>
        <family val="2"/>
      </rPr>
      <t xml:space="preserve">화 통째로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그림</t>
    </r>
    <r>
      <rPr>
        <sz val="10"/>
        <rFont val="Arial"/>
        <family val="0"/>
        <charset val="1"/>
      </rPr>
      <t xml:space="preserve">)</t>
    </r>
  </si>
  <si>
    <t xml:space="preserve">가장 비싼 단일 재생성 액션</t>
  </si>
  <si>
    <t xml:space="preserve">캐릭터 시트 재생성</t>
  </si>
  <si>
    <t xml:space="preserve">후보 장수를 늘리면 배수로 증가</t>
  </si>
  <si>
    <r>
      <rPr>
        <b val="true"/>
        <sz val="12"/>
        <rFont val="Arial"/>
        <family val="0"/>
        <charset val="1"/>
      </rPr>
      <t xml:space="preserve">2. </t>
    </r>
    <r>
      <rPr>
        <b val="true"/>
        <sz val="12"/>
        <rFont val="Noto Sans CJK SC"/>
        <family val="2"/>
      </rPr>
      <t xml:space="preserve">활성 유저 </t>
    </r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명당 월 원가</t>
    </r>
  </si>
  <si>
    <t xml:space="preserve">유저 타입</t>
  </si>
  <si>
    <t xml:space="preserve">구성 비율</t>
  </si>
  <si>
    <r>
      <rPr>
        <b val="true"/>
        <sz val="10"/>
        <color rgb="FFFFFFFF"/>
        <rFont val="Noto Sans CJK SC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 원가</t>
    </r>
  </si>
  <si>
    <t xml:space="preserve">연 환산</t>
  </si>
  <si>
    <t xml:space="preserve">타입 정의</t>
  </si>
  <si>
    <t xml:space="preserve">가중평균</t>
  </si>
  <si>
    <r>
      <rPr>
        <b val="true"/>
        <sz val="12"/>
        <rFont val="Arial"/>
        <family val="0"/>
        <charset val="1"/>
      </rPr>
      <t xml:space="preserve">3. </t>
    </r>
    <r>
      <rPr>
        <b val="true"/>
        <sz val="12"/>
        <rFont val="Noto Sans CJK SC"/>
        <family val="2"/>
      </rPr>
      <t xml:space="preserve">규모별 월 총 원가 </t>
    </r>
    <r>
      <rPr>
        <b val="true"/>
        <sz val="12"/>
        <rFont val="Arial"/>
        <family val="0"/>
        <charset val="1"/>
      </rPr>
      <t xml:space="preserve">(API </t>
    </r>
    <r>
      <rPr>
        <b val="true"/>
        <sz val="12"/>
        <rFont val="Noto Sans CJK SC"/>
        <family val="2"/>
      </rPr>
      <t xml:space="preserve">원가만</t>
    </r>
    <r>
      <rPr>
        <b val="true"/>
        <sz val="12"/>
        <rFont val="Arial"/>
        <family val="0"/>
        <charset val="1"/>
      </rPr>
      <t xml:space="preserve">)</t>
    </r>
  </si>
  <si>
    <t xml:space="preserve">단계</t>
  </si>
  <si>
    <t xml:space="preserve">가입 유저수</t>
  </si>
  <si>
    <t xml:space="preserve">활성 유저수</t>
  </si>
  <si>
    <t xml:space="preserve">월 총 원가</t>
  </si>
  <si>
    <r>
      <rPr>
        <b val="true"/>
        <sz val="12"/>
        <rFont val="Arial"/>
        <family val="0"/>
        <charset val="1"/>
      </rPr>
      <t xml:space="preserve">4. </t>
    </r>
    <r>
      <rPr>
        <b val="true"/>
        <sz val="12"/>
        <rFont val="Noto Sans CJK SC"/>
        <family val="2"/>
      </rPr>
      <t xml:space="preserve">읽는 법</t>
    </r>
  </si>
  <si>
    <r>
      <rPr>
        <i val="true"/>
        <sz val="9"/>
        <color rgb="FF595959"/>
        <rFont val="Noto Sans CJK SC"/>
        <family val="2"/>
      </rPr>
      <t xml:space="preserve">① 단가 시트 — 실제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로그에서 뽑은 단계별 원가</t>
    </r>
    <r>
      <rPr>
        <i val="true"/>
        <sz val="9"/>
        <color rgb="FF595959"/>
        <rFont val="Arial"/>
        <family val="0"/>
        <charset val="1"/>
      </rPr>
      <t xml:space="preserve">. B4</t>
    </r>
    <r>
      <rPr>
        <i val="true"/>
        <sz val="9"/>
        <color rgb="FF595959"/>
        <rFont val="Noto Sans CJK SC"/>
        <family val="2"/>
      </rPr>
      <t xml:space="preserve">에서 실측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여유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보수 모드를 전환합니다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</si>
  <si>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② 사용가정 시트 — 유저 타입별 월 사용 횟수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여기가 유일한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추정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영역이며</t>
    </r>
    <r>
      <rPr>
        <i val="true"/>
        <sz val="9"/>
        <color rgb="FF595959"/>
        <rFont val="Arial"/>
        <family val="0"/>
        <charset val="1"/>
      </rPr>
      <t xml:space="preserve">, 8/19 </t>
    </r>
    <r>
      <rPr>
        <i val="true"/>
        <sz val="9"/>
        <color rgb="FF595959"/>
        <rFont val="Noto Sans CJK SC"/>
        <family val="2"/>
      </rPr>
      <t xml:space="preserve">유저 검증 이후 실측으로 교체할 자리입니다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</si>
  <si>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③ 비용추정 시트 — 단가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사용량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유저수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가입 유저수만 바꾸면 전체가 다시 계산됩니다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</si>
  <si>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④ 민감도 시트 — 규모별 총액과 기능별 원가 비중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</si>
  <si>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색 규칙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파란 글씨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직접 입력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검정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수식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초록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다른 시트 참조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노란 배경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핵심 가정</t>
    </r>
  </si>
  <si>
    <r>
      <rPr>
        <b val="true"/>
        <sz val="12"/>
        <rFont val="Arial"/>
        <family val="0"/>
        <charset val="1"/>
      </rPr>
      <t xml:space="preserve">5. </t>
    </r>
    <r>
      <rPr>
        <b val="true"/>
        <sz val="12"/>
        <rFont val="Noto Sans CJK SC"/>
        <family val="2"/>
      </rPr>
      <t xml:space="preserve">크레딧 요약</t>
    </r>
  </si>
  <si>
    <t xml:space="preserve">값</t>
  </si>
  <si>
    <t xml:space="preserve">메모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</si>
  <si>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크레딧 기준 원가</t>
    </r>
  </si>
  <si>
    <r>
      <rPr>
        <i val="true"/>
        <sz val="9"/>
        <color rgb="FF595959"/>
        <rFont val="Noto Sans CJK SC"/>
        <family val="2"/>
      </rPr>
      <t xml:space="preserve">이미지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장 </t>
    </r>
    <r>
      <rPr>
        <i val="true"/>
        <sz val="9"/>
        <color rgb="FF595959"/>
        <rFont val="Arial"/>
        <family val="0"/>
        <charset val="1"/>
      </rPr>
      <t xml:space="preserve">= 1</t>
    </r>
    <r>
      <rPr>
        <i val="true"/>
        <sz val="9"/>
        <color rgb="FF595959"/>
        <rFont val="Noto Sans CJK SC"/>
        <family val="2"/>
      </rPr>
      <t xml:space="preserve">크레딧</t>
    </r>
  </si>
  <si>
    <r>
      <rPr>
        <sz val="10"/>
        <rFont val="Noto Sans CJK SC"/>
        <family val="2"/>
      </rPr>
      <t xml:space="preserve">웹툰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</t>
    </r>
  </si>
  <si>
    <t xml:space="preserve">서비스의 기본 단위</t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</si>
  <si>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재생성</t>
    </r>
  </si>
  <si>
    <t xml:space="preserve">재생성 최소 단위</t>
  </si>
  <si>
    <t xml:space="preserve">신규 가입 무료 지급</t>
  </si>
  <si>
    <r>
      <rPr>
        <i val="true"/>
        <sz val="9"/>
        <color rgb="FF595959"/>
        <rFont val="Noto Sans CJK SC"/>
        <family val="2"/>
      </rPr>
      <t xml:space="preserve">첫 경험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바퀴</t>
    </r>
  </si>
  <si>
    <r>
      <rPr>
        <sz val="10"/>
        <rFont val="Noto Sans CJK SC"/>
        <family val="2"/>
      </rPr>
      <t xml:space="preserve">유저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 체험 원가</t>
    </r>
  </si>
  <si>
    <r>
      <rPr>
        <i val="true"/>
        <sz val="9"/>
        <color rgb="FF595959"/>
        <rFont val="Noto Sans CJK SC"/>
        <family val="2"/>
      </rPr>
      <t xml:space="preserve">무료 유저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명 획득 비용</t>
    </r>
  </si>
  <si>
    <r>
      <rPr>
        <sz val="10"/>
        <rFont val="Arial"/>
        <family val="0"/>
        <charset val="1"/>
      </rPr>
      <t xml:space="preserve">Lore </t>
    </r>
    <r>
      <rPr>
        <sz val="10"/>
        <rFont val="Noto Sans CJK SC"/>
        <family val="2"/>
      </rPr>
      <t xml:space="preserve">패스 원가율</t>
    </r>
  </si>
  <si>
    <r>
      <rPr>
        <i val="true"/>
        <sz val="9"/>
        <color rgb="FF595959"/>
        <rFont val="Noto Sans CJK SC"/>
        <family val="2"/>
      </rPr>
      <t xml:space="preserve">월 </t>
    </r>
    <r>
      <rPr>
        <i val="true"/>
        <sz val="9"/>
        <color rgb="FF595959"/>
        <rFont val="Arial"/>
        <family val="0"/>
        <charset val="1"/>
      </rPr>
      <t xml:space="preserve">9,900</t>
    </r>
    <r>
      <rPr>
        <i val="true"/>
        <sz val="9"/>
        <color rgb="FF595959"/>
        <rFont val="Noto Sans CJK SC"/>
        <family val="2"/>
      </rPr>
      <t xml:space="preserve">원 </t>
    </r>
    <r>
      <rPr>
        <i val="true"/>
        <sz val="9"/>
        <color rgb="FF595959"/>
        <rFont val="Arial"/>
        <family val="0"/>
        <charset val="1"/>
      </rPr>
      <t xml:space="preserve">/ 25</t>
    </r>
    <r>
      <rPr>
        <i val="true"/>
        <sz val="9"/>
        <color rgb="FF595959"/>
        <rFont val="Noto Sans CJK SC"/>
        <family val="2"/>
      </rPr>
      <t xml:space="preserve">크레딧 기준</t>
    </r>
  </si>
  <si>
    <r>
      <rPr>
        <sz val="10"/>
        <rFont val="Noto Sans CJK SC"/>
        <family val="2"/>
      </rPr>
      <t xml:space="preserve">활성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월 마진</t>
    </r>
  </si>
  <si>
    <r>
      <rPr>
        <i val="true"/>
        <sz val="9"/>
        <color rgb="FF595959"/>
        <rFont val="Noto Sans CJK SC"/>
        <family val="2"/>
      </rPr>
      <t xml:space="preserve">구독 매출만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충전 제외</t>
    </r>
  </si>
  <si>
    <t xml:space="preserve">손익분기 유료 전환율</t>
  </si>
  <si>
    <t xml:space="preserve">이 아래로 떨어지면 적자</t>
  </si>
  <si>
    <r>
      <rPr>
        <b val="true"/>
        <sz val="14"/>
        <rFont val="Arial"/>
        <family val="0"/>
        <charset val="1"/>
      </rPr>
      <t xml:space="preserve">Lore </t>
    </r>
    <r>
      <rPr>
        <b val="true"/>
        <sz val="14"/>
        <rFont val="Noto Sans CJK SC"/>
        <family val="2"/>
      </rPr>
      <t xml:space="preserve">단가표 — </t>
    </r>
    <r>
      <rPr>
        <b val="true"/>
        <sz val="14"/>
        <rFont val="Arial"/>
        <family val="0"/>
        <charset val="1"/>
      </rPr>
      <t xml:space="preserve">API </t>
    </r>
    <r>
      <rPr>
        <b val="true"/>
        <sz val="14"/>
        <rFont val="Noto Sans CJK SC"/>
        <family val="2"/>
      </rPr>
      <t xml:space="preserve">실측 원가 기준</t>
    </r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</si>
  <si>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(KRW). </t>
    </r>
    <r>
      <rPr>
        <i val="true"/>
        <sz val="9"/>
        <color rgb="FF595959"/>
        <rFont val="Noto Sans CJK SC"/>
        <family val="2"/>
      </rPr>
      <t xml:space="preserve">파란 글씨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직접 입력값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검정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수식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모든 실측치는 실제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호출 로그 집계값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</si>
  <si>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시나리오 모드 </t>
    </r>
    <r>
      <rPr>
        <b val="true"/>
        <sz val="10"/>
        <rFont val="Arial"/>
        <family val="0"/>
        <charset val="1"/>
      </rPr>
      <t xml:space="preserve">(1=</t>
    </r>
    <r>
      <rPr>
        <b val="true"/>
        <sz val="10"/>
        <rFont val="Noto Sans CJK SC"/>
        <family val="2"/>
      </rPr>
      <t xml:space="preserve">실측 </t>
    </r>
    <r>
      <rPr>
        <b val="true"/>
        <sz val="10"/>
        <rFont val="Arial"/>
        <family val="0"/>
        <charset val="1"/>
      </rPr>
      <t xml:space="preserve">· 2=</t>
    </r>
    <r>
      <rPr>
        <b val="true"/>
        <sz val="10"/>
        <rFont val="Noto Sans CJK SC"/>
        <family val="2"/>
      </rPr>
      <t xml:space="preserve">여유 </t>
    </r>
    <r>
      <rPr>
        <b val="true"/>
        <sz val="10"/>
        <rFont val="Arial"/>
        <family val="0"/>
        <charset val="1"/>
      </rPr>
      <t xml:space="preserve">· 3=</t>
    </r>
    <r>
      <rPr>
        <b val="true"/>
        <sz val="10"/>
        <rFont val="Noto Sans CJK SC"/>
        <family val="2"/>
      </rPr>
      <t xml:space="preserve">보수</t>
    </r>
    <r>
      <rPr>
        <b val="true"/>
        <sz val="10"/>
        <rFont val="Arial"/>
        <family val="0"/>
        <charset val="1"/>
      </rPr>
      <t xml:space="preserve">)</t>
    </r>
  </si>
  <si>
    <t xml:space="preserve">단위</t>
  </si>
  <si>
    <t xml:space="preserve">주 모델</t>
  </si>
  <si>
    <t xml:space="preserve">② 여유</t>
  </si>
  <si>
    <t xml:space="preserve">적용 단가</t>
  </si>
  <si>
    <r>
      <rPr>
        <b val="true"/>
        <sz val="10"/>
        <color rgb="FFFFFFFF"/>
        <rFont val="Noto Sans CJK SC"/>
        <family val="2"/>
      </rPr>
      <t xml:space="preserve">산출 근거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가정</t>
    </r>
  </si>
  <si>
    <t xml:space="preserve">【 신규 생성 】</t>
  </si>
  <si>
    <r>
      <rPr>
        <sz val="10"/>
        <rFont val="Noto Sans CJK SC"/>
        <family val="2"/>
      </rPr>
      <t xml:space="preserve">스토리 설계 </t>
    </r>
    <r>
      <rPr>
        <sz val="10"/>
        <rFont val="Arial"/>
        <family val="0"/>
        <charset val="1"/>
      </rPr>
      <t xml:space="preserve">(LOOK·SEED·P1·P3·SCENE)</t>
    </r>
  </si>
  <si>
    <r>
      <rPr>
        <sz val="10"/>
        <rFont val="Noto Sans CJK SC"/>
        <family val="2"/>
      </rPr>
      <t xml:space="preserve">캐릭터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</si>
  <si>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t xml:space="preserve">gpt-4.1</t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</si>
  <si>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299</t>
    </r>
    <r>
      <rPr>
        <i val="true"/>
        <sz val="9"/>
        <color rgb="FF595959"/>
        <rFont val="Noto Sans CJK SC"/>
        <family val="2"/>
      </rPr>
      <t xml:space="preserve">원 </t>
    </r>
    <r>
      <rPr>
        <i val="true"/>
        <sz val="9"/>
        <color rgb="FF595959"/>
        <rFont val="Arial"/>
        <family val="0"/>
        <charset val="1"/>
      </rPr>
      <t xml:space="preserve">= LOOK 12 + SEED 9 + P1 43×3(</t>
    </r>
    <r>
      <rPr>
        <i val="true"/>
        <sz val="9"/>
        <color rgb="FF595959"/>
        <rFont val="Noto Sans CJK SC"/>
        <family val="2"/>
      </rPr>
      <t xml:space="preserve">게이트 재시도</t>
    </r>
    <r>
      <rPr>
        <i val="true"/>
        <sz val="9"/>
        <color rgb="FF595959"/>
        <rFont val="Arial"/>
        <family val="0"/>
        <charset val="1"/>
      </rPr>
      <t xml:space="preserve">) + P3 34 + SCENE 73. </t>
    </r>
    <r>
      <rPr>
        <i val="true"/>
        <sz val="9"/>
        <color rgb="FF595959"/>
        <rFont val="Noto Sans CJK SC"/>
        <family val="2"/>
      </rPr>
      <t xml:space="preserve">재시도 없으면 약 </t>
    </r>
    <r>
      <rPr>
        <i val="true"/>
        <sz val="9"/>
        <color rgb="FF595959"/>
        <rFont val="Arial"/>
        <family val="0"/>
        <charset val="1"/>
      </rPr>
      <t xml:space="preserve">190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</si>
  <si>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캐릭터 시트</t>
  </si>
  <si>
    <r>
      <rPr>
        <sz val="10"/>
        <rFont val="Noto Sans CJK SC"/>
        <family val="2"/>
      </rPr>
      <t xml:space="preserve">캐릭터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</si>
  <si>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gpt-image-2 (</t>
    </r>
    <r>
      <rPr>
        <sz val="10"/>
        <rFont val="Noto Sans CJK SC"/>
        <family val="2"/>
      </rPr>
      <t xml:space="preserve">예정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</si>
  <si>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188</t>
    </r>
    <r>
      <rPr>
        <i val="true"/>
        <sz val="9"/>
        <color rgb="FF595959"/>
        <rFont val="Noto Sans CJK SC"/>
        <family val="2"/>
      </rPr>
      <t xml:space="preserve">원은 </t>
    </r>
    <r>
      <rPr>
        <i val="true"/>
        <sz val="9"/>
        <color rgb="FF595959"/>
        <rFont val="Arial"/>
        <family val="0"/>
        <charset val="1"/>
      </rPr>
      <t xml:space="preserve">gemini-2.5-flash-image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Arial"/>
        <family val="0"/>
        <charset val="1"/>
      </rPr>
      <t xml:space="preserve">. gpt-image-2</t>
    </r>
    <r>
      <rPr>
        <i val="true"/>
        <sz val="9"/>
        <color rgb="FF595959"/>
        <rFont val="Noto Sans CJK SC"/>
        <family val="2"/>
      </rPr>
      <t xml:space="preserve">로 고정 예정이라 ②③에 단가 상승분 반영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미실측 가정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</si>
  <si>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콘티 </t>
    </r>
    <r>
      <rPr>
        <sz val="10"/>
        <rFont val="Arial"/>
        <family val="0"/>
        <charset val="1"/>
      </rPr>
      <t xml:space="preserve">(W4~W8)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</si>
  <si>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</t>
    </r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</si>
  <si>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347</t>
    </r>
    <r>
      <rPr>
        <i val="true"/>
        <sz val="9"/>
        <color rgb="FF595959"/>
        <rFont val="Noto Sans CJK SC"/>
        <family val="2"/>
      </rPr>
      <t xml:space="preserve">원 </t>
    </r>
    <r>
      <rPr>
        <i val="true"/>
        <sz val="9"/>
        <color rgb="FF595959"/>
        <rFont val="Arial"/>
        <family val="0"/>
        <charset val="1"/>
      </rPr>
      <t xml:space="preserve">= W4 33(</t>
    </r>
    <r>
      <rPr>
        <i val="true"/>
        <sz val="9"/>
        <color rgb="FF595959"/>
        <rFont val="Noto Sans CJK SC"/>
        <family val="2"/>
      </rPr>
      <t xml:space="preserve">시리즈당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) + W5 39 + W6 21 + W7 116~131×2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재시도 없으면 </t>
    </r>
    <r>
      <rPr>
        <i val="true"/>
        <sz val="9"/>
        <color rgb="FF595959"/>
        <rFont val="Arial"/>
        <family val="0"/>
        <charset val="1"/>
      </rPr>
      <t xml:space="preserve">216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</si>
  <si>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그림 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× 3</t>
    </r>
    <r>
      <rPr>
        <sz val="10"/>
        <rFont val="Noto Sans CJK SC"/>
        <family val="2"/>
      </rPr>
      <t xml:space="preserve">컷 </t>
    </r>
    <r>
      <rPr>
        <sz val="10"/>
        <rFont val="Arial"/>
        <family val="0"/>
        <charset val="1"/>
      </rPr>
      <t xml:space="preserve">= 12</t>
    </r>
    <r>
      <rPr>
        <sz val="10"/>
        <rFont val="Noto Sans CJK SC"/>
        <family val="2"/>
      </rPr>
      <t xml:space="preserve">컷</t>
    </r>
    <r>
      <rPr>
        <sz val="10"/>
        <rFont val="Arial"/>
        <family val="0"/>
        <charset val="1"/>
      </rPr>
      <t xml:space="preserve">)</t>
    </r>
  </si>
  <si>
    <t xml:space="preserve">gemini-3-pro-image-preview</t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</si>
  <si>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778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장당 </t>
    </r>
    <r>
      <rPr>
        <i val="true"/>
        <sz val="9"/>
        <color rgb="FF595959"/>
        <rFont val="Arial"/>
        <family val="0"/>
        <charset val="1"/>
      </rPr>
      <t xml:space="preserve">195·</t>
    </r>
    <r>
      <rPr>
        <i val="true"/>
        <sz val="9"/>
        <color rgb="FF595959"/>
        <rFont val="Noto Sans CJK SC"/>
        <family val="2"/>
      </rPr>
      <t xml:space="preserve">컷당 </t>
    </r>
    <r>
      <rPr>
        <i val="true"/>
        <sz val="9"/>
        <color rgb="FF595959"/>
        <rFont val="Arial"/>
        <family val="0"/>
        <charset val="1"/>
      </rPr>
      <t xml:space="preserve">65) = </t>
    </r>
    <r>
      <rPr>
        <i val="true"/>
        <sz val="9"/>
        <color rgb="FF595959"/>
        <rFont val="Noto Sans CJK SC"/>
        <family val="2"/>
      </rPr>
      <t xml:space="preserve">이미지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장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컷→영문 변환 </t>
    </r>
    <r>
      <rPr>
        <i val="true"/>
        <sz val="9"/>
        <color rgb="FF595959"/>
        <rFont val="Arial"/>
        <family val="0"/>
        <charset val="1"/>
      </rPr>
      <t xml:space="preserve">14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별도 실측 </t>
    </r>
    <r>
      <rPr>
        <i val="true"/>
        <sz val="9"/>
        <color rgb="FF595959"/>
        <rFont val="Arial"/>
        <family val="0"/>
        <charset val="1"/>
      </rPr>
      <t xml:space="preserve">1,904</t>
    </r>
    <r>
      <rPr>
        <i val="true"/>
        <sz val="9"/>
        <color rgb="FF595959"/>
        <rFont val="Noto Sans CJK SC"/>
        <family val="2"/>
      </rPr>
      <t xml:space="preserve">원 케이스 존재 → ③에 반영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</si>
  <si>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【 재생성 】</t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</si>
  <si>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그냥 다시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</si>
  <si>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컷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</si>
  <si>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동일 프롬프트로 재호출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이미지 모델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콜만 발생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</si>
  <si>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+ gpt-4.1</t>
    </r>
  </si>
  <si>
    <r>
      <rPr>
        <i val="true"/>
        <sz val="9"/>
        <color rgb="FF595959"/>
        <rFont val="Noto Sans CJK SC"/>
        <family val="2"/>
      </rPr>
      <t xml:space="preserve">가정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이미지 재생성 단가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피드백→프롬프트 재작성 텍스트 콜 </t>
    </r>
    <r>
      <rPr>
        <i val="true"/>
        <sz val="9"/>
        <color rgb="FF595959"/>
        <rFont val="Arial"/>
        <family val="0"/>
        <charset val="1"/>
      </rPr>
      <t xml:space="preserve">14~40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텍스트 콜은 미실측 추정치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</si>
  <si>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컷 분해</t>
    </r>
    <r>
      <rPr>
        <sz val="10"/>
        <rFont val="Arial"/>
        <family val="0"/>
        <charset val="1"/>
      </rPr>
      <t xml:space="preserve">(W7)</t>
    </r>
    <r>
      <rPr>
        <sz val="10"/>
        <rFont val="Noto Sans CJK SC"/>
        <family val="2"/>
      </rPr>
      <t xml:space="preserve">만 재시도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</si>
  <si>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</si>
  <si>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116~131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</si>
  <si>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 콘티 전체 재작성 </t>
    </r>
    <r>
      <rPr>
        <sz val="10"/>
        <rFont val="Arial"/>
        <family val="0"/>
        <charset val="1"/>
      </rPr>
      <t xml:space="preserve">(W5~W8)</t>
    </r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</si>
  <si>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216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순조</t>
    </r>
    <r>
      <rPr>
        <i val="true"/>
        <sz val="9"/>
        <color rgb="FF595959"/>
        <rFont val="Arial"/>
        <family val="0"/>
        <charset val="1"/>
      </rPr>
      <t xml:space="preserve">) ~ 347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(W7 1</t>
    </r>
    <r>
      <rPr>
        <i val="true"/>
        <sz val="9"/>
        <color rgb="FF595959"/>
        <rFont val="Noto Sans CJK SC"/>
        <family val="2"/>
      </rPr>
      <t xml:space="preserve">회 추가 재시도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</si>
  <si>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스토리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단계만 재생성 </t>
    </r>
    <r>
      <rPr>
        <sz val="10"/>
        <rFont val="Arial"/>
        <family val="0"/>
        <charset val="1"/>
      </rPr>
      <t xml:space="preserve">(SCENE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</si>
  <si>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SCENE 33~40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</si>
  <si>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캐릭터 전체 재설계</t>
  </si>
  <si>
    <r>
      <rPr>
        <i val="true"/>
        <sz val="9"/>
        <color rgb="FF595959"/>
        <rFont val="Noto Sans CJK SC"/>
        <family val="2"/>
      </rPr>
      <t xml:space="preserve">실측 </t>
    </r>
    <r>
      <rPr>
        <i val="true"/>
        <sz val="9"/>
        <color rgb="FF595959"/>
        <rFont val="Arial"/>
        <family val="0"/>
        <charset val="1"/>
      </rPr>
      <t xml:space="preserve">190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순조</t>
    </r>
    <r>
      <rPr>
        <i val="true"/>
        <sz val="9"/>
        <color rgb="FF595959"/>
        <rFont val="Arial"/>
        <family val="0"/>
        <charset val="1"/>
      </rPr>
      <t xml:space="preserve">) ~ 299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재시도 포함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</si>
  <si>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</t>
    </r>
  </si>
  <si>
    <r>
      <rPr>
        <i val="true"/>
        <sz val="9"/>
        <color rgb="FF595959"/>
        <rFont val="Noto Sans CJK SC"/>
        <family val="2"/>
      </rPr>
      <t xml:space="preserve">후보 장수</t>
    </r>
    <r>
      <rPr>
        <i val="true"/>
        <sz val="9"/>
        <color rgb="FF595959"/>
        <rFont val="Arial"/>
        <family val="0"/>
        <charset val="1"/>
      </rPr>
      <t xml:space="preserve">(candidates=N)</t>
    </r>
    <r>
      <rPr>
        <i val="true"/>
        <sz val="9"/>
        <color rgb="FF595959"/>
        <rFont val="Noto Sans CJK SC"/>
        <family val="2"/>
      </rPr>
      <t xml:space="preserve">를 늘리면 </t>
    </r>
    <r>
      <rPr>
        <i val="true"/>
        <sz val="9"/>
        <color rgb="FF595959"/>
        <rFont val="Arial"/>
        <family val="0"/>
        <charset val="1"/>
      </rPr>
      <t xml:space="preserve">N</t>
    </r>
    <r>
      <rPr>
        <i val="true"/>
        <sz val="9"/>
        <color rgb="FF595959"/>
        <rFont val="Noto Sans CJK SC"/>
        <family val="2"/>
      </rPr>
      <t xml:space="preserve">배로 증가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</si>
  <si>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【 조합 단가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】</t>
    </r>
  </si>
  <si>
    <r>
      <rPr>
        <b val="true"/>
        <sz val="10"/>
        <rFont val="Noto Sans CJK SC"/>
        <family val="2"/>
      </rPr>
      <t xml:space="preserve">캐릭터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개 셋업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스토리 설계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시트</t>
    </r>
    <r>
      <rPr>
        <b val="true"/>
        <sz val="10"/>
        <rFont val="Arial"/>
        <family val="0"/>
        <charset val="1"/>
      </rPr>
      <t xml:space="preserve">)</t>
    </r>
  </si>
  <si>
    <t xml:space="preserve">—</t>
  </si>
  <si>
    <r>
      <rPr>
        <i val="true"/>
        <sz val="9"/>
        <color rgb="FF595959"/>
        <rFont val="Noto Sans CJK SC"/>
        <family val="2"/>
      </rPr>
      <t xml:space="preserve">캐릭터당 최초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이후 화에서 재사용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</si>
  <si>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웹툰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콘티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그림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</si>
  <si>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캐릭터가 이미 있는 상태에서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화를 뽑는 원가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</si>
  <si>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첫 화 총액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캐릭터 셋업 </t>
    </r>
    <r>
      <rPr>
        <b val="true"/>
        <sz val="10"/>
        <rFont val="Arial"/>
        <family val="0"/>
        <charset val="1"/>
      </rPr>
      <t xml:space="preserve">+ 1</t>
    </r>
    <r>
      <rPr>
        <b val="true"/>
        <sz val="10"/>
        <rFont val="Noto Sans CJK SC"/>
        <family val="2"/>
      </rPr>
      <t xml:space="preserve">화</t>
    </r>
    <r>
      <rPr>
        <b val="true"/>
        <sz val="10"/>
        <rFont val="Arial"/>
        <family val="0"/>
        <charset val="1"/>
      </rPr>
      <t xml:space="preserve">)</t>
    </r>
  </si>
  <si>
    <t xml:space="preserve">유저 첫 경험</t>
  </si>
  <si>
    <r>
      <rPr>
        <i val="true"/>
        <sz val="9"/>
        <color rgb="FF595959"/>
        <rFont val="Noto Sans CJK SC"/>
        <family val="2"/>
      </rPr>
      <t xml:space="preserve">실측 모드에서 </t>
    </r>
    <r>
      <rPr>
        <i val="true"/>
        <sz val="9"/>
        <color rgb="FF595959"/>
        <rFont val="Arial"/>
        <family val="0"/>
        <charset val="1"/>
      </rPr>
      <t xml:space="preserve">1,612</t>
    </r>
    <r>
      <rPr>
        <i val="true"/>
        <sz val="9"/>
        <color rgb="FF595959"/>
        <rFont val="Noto Sans CJK SC"/>
        <family val="2"/>
      </rPr>
      <t xml:space="preserve">원 — 오늘 완주값과 일치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</si>
  <si>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화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개 통째 재생성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콘티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그림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</si>
  <si>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실측 기준 </t>
    </r>
    <r>
      <rPr>
        <i val="true"/>
        <sz val="9"/>
        <color rgb="FF595959"/>
        <rFont val="Arial"/>
        <family val="0"/>
        <charset val="1"/>
      </rPr>
      <t xml:space="preserve">994~1,125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</si>
  <si>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참고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기존에 쓰던 </t>
    </r>
    <r>
      <rPr>
        <i val="true"/>
        <sz val="9"/>
        <color rgb="FF595959"/>
        <rFont val="Arial"/>
        <family val="0"/>
        <charset val="1"/>
      </rPr>
      <t xml:space="preserve">'1</t>
    </r>
    <r>
      <rPr>
        <i val="true"/>
        <sz val="9"/>
        <color rgb="FF595959"/>
        <rFont val="Noto Sans CJK SC"/>
        <family val="2"/>
      </rPr>
      <t xml:space="preserve">화 </t>
    </r>
    <r>
      <rPr>
        <i val="true"/>
        <sz val="9"/>
        <color rgb="FF595959"/>
        <rFont val="Arial"/>
        <family val="0"/>
        <charset val="1"/>
      </rPr>
      <t xml:space="preserve">1,424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은 화마다 스토리 설계를 다시 도는 경우입니다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캐릭터를 재사용하면 화당 원가는 위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웹툰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화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값이 맞습니다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</si>
  <si>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표본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스토리 설계 </t>
    </r>
    <r>
      <rPr>
        <i val="true"/>
        <sz val="9"/>
        <color rgb="FF595959"/>
        <rFont val="Arial"/>
        <family val="0"/>
        <charset val="1"/>
      </rPr>
      <t xml:space="preserve">18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캐릭터 시트 </t>
    </r>
    <r>
      <rPr>
        <i val="true"/>
        <sz val="9"/>
        <color rgb="FF595959"/>
        <rFont val="Arial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콘티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그림 </t>
    </r>
    <r>
      <rPr>
        <i val="true"/>
        <sz val="9"/>
        <color rgb="FF595959"/>
        <rFont val="Arial"/>
        <family val="0"/>
        <charset val="1"/>
      </rPr>
      <t xml:space="preserve">17</t>
    </r>
    <r>
      <rPr>
        <i val="true"/>
        <sz val="9"/>
        <color rgb="FF595959"/>
        <rFont val="Noto Sans CJK SC"/>
        <family val="2"/>
      </rPr>
      <t xml:space="preserve">화의 실제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호출 로그 집계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비용 로그가 없는 초기 테스트 배치는 제외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</si>
  <si>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환율 가정</t>
    </r>
    <r>
      <rPr>
        <i val="true"/>
        <sz val="9"/>
        <color rgb="FF595959"/>
        <rFont val="Arial"/>
        <family val="0"/>
        <charset val="1"/>
      </rPr>
      <t xml:space="preserve">: 1,400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/USD (</t>
    </r>
    <r>
      <rPr>
        <i val="true"/>
        <sz val="9"/>
        <color rgb="FF595959"/>
        <rFont val="Noto Sans CJK SC"/>
        <family val="2"/>
      </rPr>
      <t xml:space="preserve">누적 </t>
    </r>
    <r>
      <rPr>
        <i val="true"/>
        <sz val="9"/>
        <color rgb="FF595959"/>
        <rFont val="Arial"/>
        <family val="0"/>
        <charset val="1"/>
      </rPr>
      <t xml:space="preserve">46,023</t>
    </r>
    <r>
      <rPr>
        <i val="true"/>
        <sz val="9"/>
        <color rgb="FF595959"/>
        <rFont val="Noto Sans CJK SC"/>
        <family val="2"/>
      </rPr>
      <t xml:space="preserve">원 ≈ </t>
    </r>
    <r>
      <rPr>
        <i val="true"/>
        <sz val="9"/>
        <color rgb="FF595959"/>
        <rFont val="Arial"/>
        <family val="0"/>
        <charset val="1"/>
      </rPr>
      <t xml:space="preserve">$32.87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</si>
  <si>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사용 시나리오 가정 — 유저 타입별 월 사용량</t>
  </si>
  <si>
    <r>
      <rPr>
        <i val="true"/>
        <sz val="9"/>
        <color rgb="FF595959"/>
        <rFont val="Noto Sans CJK SC"/>
        <family val="2"/>
      </rPr>
      <t xml:space="preserve">파란 글씨 셀만 수정하세요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아래 수치는 실사용 데이터가 없는 상태의 계획 가정치입니다 </t>
    </r>
    <r>
      <rPr>
        <i val="true"/>
        <sz val="9"/>
        <color rgb="FF595959"/>
        <rFont val="Arial"/>
        <family val="0"/>
        <charset val="1"/>
      </rPr>
      <t xml:space="preserve">(8/19 </t>
    </r>
    <r>
      <rPr>
        <i val="true"/>
        <sz val="9"/>
        <color rgb="FF595959"/>
        <rFont val="Noto Sans CJK SC"/>
        <family val="2"/>
      </rPr>
      <t xml:space="preserve">자캐 유저 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명 검증 이후 실측으로 교체 예정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</si>
  <si>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가입자 대비 활성률</t>
  </si>
  <si>
    <t xml:space="preserve">가입만 하고 한 번도 생성하지 않는 유저 제외 비율</t>
  </si>
  <si>
    <t xml:space="preserve">집계 기간</t>
  </si>
  <si>
    <r>
      <rPr>
        <sz val="10"/>
        <color rgb="FF0000FF"/>
        <rFont val="Noto Sans CJK SC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회</t>
    </r>
  </si>
  <si>
    <r>
      <rPr>
        <i val="true"/>
        <sz val="9"/>
        <color rgb="FF595959"/>
        <rFont val="Noto Sans CJK SC"/>
        <family val="2"/>
      </rPr>
      <t xml:space="preserve">아래 사용 횟수는 모두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활성 유저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명이 한 달 동안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기준</t>
    </r>
  </si>
  <si>
    <t xml:space="preserve">캐릭터 신규</t>
  </si>
  <si>
    <t xml:space="preserve">시트 재생성</t>
  </si>
  <si>
    <t xml:space="preserve">웹툰 화수</t>
  </si>
  <si>
    <t xml:space="preserve">스토리 단계 재생성</t>
  </si>
  <si>
    <t xml:space="preserve">콘티 재시도</t>
  </si>
  <si>
    <r>
      <rPr>
        <b val="true"/>
        <sz val="10"/>
        <color rgb="FFFFFFFF"/>
        <rFont val="Noto Sans CJK SC"/>
        <family val="2"/>
      </rPr>
      <t xml:space="preserve">이미지 재생성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그냥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</si>
  <si>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이미지 재생성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피드백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</si>
  <si>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체험형</t>
  </si>
  <si>
    <r>
      <rPr>
        <i val="true"/>
        <sz val="9"/>
        <color rgb="FF595959"/>
        <rFont val="Noto Sans CJK SC"/>
        <family val="2"/>
      </rPr>
      <t xml:space="preserve">자캐 하나 넣어보고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화만 뽑아보는 유입 유저</t>
    </r>
  </si>
  <si>
    <t xml:space="preserve">일반형</t>
  </si>
  <si>
    <r>
      <rPr>
        <i val="true"/>
        <sz val="9"/>
        <color rgb="FF595959"/>
        <rFont val="Noto Sans CJK SC"/>
        <family val="2"/>
      </rPr>
      <t xml:space="preserve">자캐 커뮤니티 활동 유저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마음에 드는 컷은 다시 뽑음</t>
    </r>
  </si>
  <si>
    <t xml:space="preserve">헤비형</t>
  </si>
  <si>
    <r>
      <rPr>
        <i val="true"/>
        <sz val="9"/>
        <color rgb="FF595959"/>
        <rFont val="Noto Sans CJK SC"/>
        <family val="2"/>
      </rPr>
      <t xml:space="preserve">연재하듯 쓰는 코어 유저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재생성 비중이 가장 큼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</si>
  <si>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(100%</t>
    </r>
    <r>
      <rPr>
        <b val="true"/>
        <sz val="10"/>
        <rFont val="Noto Sans CJK SC"/>
        <family val="2"/>
      </rPr>
      <t xml:space="preserve">가 되어야 함</t>
    </r>
    <r>
      <rPr>
        <b val="true"/>
        <sz val="10"/>
        <rFont val="Arial"/>
        <family val="0"/>
        <charset val="1"/>
      </rPr>
      <t xml:space="preserve">)</t>
    </r>
  </si>
  <si>
    <t xml:space="preserve">가정 근거</t>
  </si>
  <si>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구성 비율 </t>
    </r>
    <r>
      <rPr>
        <i val="true"/>
        <sz val="9"/>
        <color rgb="FF595959"/>
        <rFont val="Arial"/>
        <family val="0"/>
        <charset val="1"/>
      </rPr>
      <t xml:space="preserve">60/30/10: </t>
    </r>
    <r>
      <rPr>
        <i val="true"/>
        <sz val="9"/>
        <color rgb="FF595959"/>
        <rFont val="Noto Sans CJK SC"/>
        <family val="2"/>
      </rPr>
      <t xml:space="preserve">실사용 데이터 없음</t>
    </r>
    <r>
      <rPr>
        <i val="true"/>
        <sz val="9"/>
        <color rgb="FF595959"/>
        <rFont val="Arial"/>
        <family val="0"/>
        <charset val="1"/>
      </rPr>
      <t xml:space="preserve">. UGC </t>
    </r>
    <r>
      <rPr>
        <i val="true"/>
        <sz val="9"/>
        <color rgb="FF595959"/>
        <rFont val="Noto Sans CJK SC"/>
        <family val="2"/>
      </rPr>
      <t xml:space="preserve">창작 서비스의 통상적인 롱테일 분포를 준용한 계획 가정치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</si>
  <si>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재생성 횟수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그림 품질 게이트가 화당 평균 </t>
    </r>
    <r>
      <rPr>
        <i val="true"/>
        <sz val="9"/>
        <color rgb="FF595959"/>
        <rFont val="Arial"/>
        <family val="0"/>
        <charset val="1"/>
      </rPr>
      <t xml:space="preserve">1~2</t>
    </r>
    <r>
      <rPr>
        <i val="true"/>
        <sz val="9"/>
        <color rgb="FF595959"/>
        <rFont val="Noto Sans CJK SC"/>
        <family val="2"/>
      </rPr>
      <t xml:space="preserve">회 걸린 개발 로그를 근거로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유저는 그보다 더 자주 다시 뽑는다고 가정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</si>
  <si>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피드백 재생성 비율을 별도 분리한 이유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텍스트 콜이 추가로 붙어 단가가 다르기 때문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</si>
  <si>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월 기준으로 잡은 이유</t>
    </r>
    <r>
      <rPr>
        <i val="true"/>
        <sz val="9"/>
        <color rgb="FF595959"/>
        <rFont val="Arial"/>
        <family val="0"/>
        <charset val="1"/>
      </rPr>
      <t xml:space="preserve">: API </t>
    </r>
    <r>
      <rPr>
        <i val="true"/>
        <sz val="9"/>
        <color rgb="FF595959"/>
        <rFont val="Noto Sans CJK SC"/>
        <family val="2"/>
      </rPr>
      <t xml:space="preserve">과금과 예산 집행이 모두 월 단위이기 때문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</si>
  <si>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원가 추정 — 유저 타입별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규모별</t>
    </r>
  </si>
  <si>
    <r>
      <rPr>
        <i val="true"/>
        <sz val="9"/>
        <color rgb="FF595959"/>
        <rFont val="Noto Sans CJK SC"/>
        <family val="2"/>
      </rPr>
      <t xml:space="preserve">초록 글씨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다른 시트 참조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세 개 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실측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여유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보수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단가 시트의 모드 선택과 무관하게 항상 동시에 계산됩니다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</si>
  <si>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① 실측 기준</t>
  </si>
  <si>
    <t xml:space="preserve">② 여유 기준</t>
  </si>
  <si>
    <t xml:space="preserve">③ 보수 기준</t>
  </si>
  <si>
    <r>
      <rPr>
        <b val="true"/>
        <sz val="10"/>
        <color rgb="FFFFFFFF"/>
        <rFont val="Noto Sans CJK SC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 원가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적용 모드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</si>
  <si>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가중평균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활성 유저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</si>
  <si>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t xml:space="preserve">규모별 월 총 원가</t>
  </si>
  <si>
    <t xml:space="preserve">적용 모드 총액</t>
  </si>
  <si>
    <r>
      <rPr>
        <b val="true"/>
        <sz val="10"/>
        <color rgb="FFFFFFFF"/>
        <rFont val="Noto Sans CJK SC"/>
        <family val="2"/>
      </rPr>
      <t xml:space="preserve">활성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인당</t>
    </r>
  </si>
  <si>
    <r>
      <rPr>
        <b val="true"/>
        <sz val="10"/>
        <rFont val="Noto Sans CJK SC"/>
        <family val="2"/>
      </rPr>
      <t xml:space="preserve">검증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현재 목표</t>
    </r>
    <r>
      <rPr>
        <b val="true"/>
        <sz val="10"/>
        <rFont val="Arial"/>
        <family val="0"/>
        <charset val="1"/>
      </rPr>
      <t xml:space="preserve">)</t>
    </r>
  </si>
  <si>
    <t xml:space="preserve">클로즈드 베타</t>
  </si>
  <si>
    <t xml:space="preserve">오픈 베타</t>
  </si>
  <si>
    <t xml:space="preserve">확산</t>
  </si>
  <si>
    <r>
      <rPr>
        <b val="true"/>
        <sz val="10"/>
        <rFont val="Noto Sans CJK SC"/>
        <family val="2"/>
      </rPr>
      <t xml:space="preserve">확산 </t>
    </r>
    <r>
      <rPr>
        <b val="true"/>
        <sz val="10"/>
        <rFont val="Arial"/>
        <family val="0"/>
        <charset val="1"/>
      </rPr>
      <t xml:space="preserve">+</t>
    </r>
  </si>
  <si>
    <r>
      <rPr>
        <i val="true"/>
        <sz val="9"/>
        <color rgb="FF595959"/>
        <rFont val="Arial"/>
        <family val="0"/>
        <charset val="1"/>
      </rPr>
      <t xml:space="preserve">※ '</t>
    </r>
    <r>
      <rPr>
        <i val="true"/>
        <sz val="9"/>
        <color rgb="FF595959"/>
        <rFont val="Noto Sans CJK SC"/>
        <family val="2"/>
      </rPr>
      <t xml:space="preserve">가입 유저수</t>
    </r>
    <r>
      <rPr>
        <i val="true"/>
        <sz val="9"/>
        <color rgb="FF595959"/>
        <rFont val="Arial"/>
        <family val="0"/>
        <charset val="1"/>
      </rPr>
      <t xml:space="preserve">'(</t>
    </r>
    <r>
      <rPr>
        <i val="true"/>
        <sz val="9"/>
        <color rgb="FF595959"/>
        <rFont val="Noto Sans CJK SC"/>
        <family val="2"/>
      </rPr>
      <t xml:space="preserve">파란 셀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만 바꾸면 나머지는 전부 자동 계산됩니다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</si>
  <si>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총액은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원가만 포함합니다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서버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스토리지</t>
    </r>
    <r>
      <rPr>
        <i val="true"/>
        <sz val="9"/>
        <color rgb="FF595959"/>
        <rFont val="Arial"/>
        <family val="0"/>
        <charset val="1"/>
      </rPr>
      <t xml:space="preserve">·CDN </t>
    </r>
    <r>
      <rPr>
        <i val="true"/>
        <sz val="9"/>
        <color rgb="FF595959"/>
        <rFont val="Noto Sans CJK SC"/>
        <family val="2"/>
      </rPr>
      <t xml:space="preserve">비용은 별도입니다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</si>
  <si>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크레딧 설계 — 액션 가격표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무료 정책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유료 플랜</t>
    </r>
  </si>
  <si>
    <r>
      <rPr>
        <i val="true"/>
        <sz val="9"/>
        <color rgb="FF595959"/>
        <rFont val="Noto Sans CJK SC"/>
        <family val="2"/>
      </rPr>
      <t xml:space="preserve">설계 원칙</t>
    </r>
    <r>
      <rPr>
        <i val="true"/>
        <sz val="9"/>
        <color rgb="FF595959"/>
        <rFont val="Arial"/>
        <family val="0"/>
        <charset val="1"/>
      </rPr>
      <t xml:space="preserve">: 1</t>
    </r>
    <r>
      <rPr>
        <i val="true"/>
        <sz val="9"/>
        <color rgb="FF595959"/>
        <rFont val="Noto Sans CJK SC"/>
        <family val="2"/>
      </rPr>
      <t xml:space="preserve">크레딧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이미지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장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유저가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무엇에 돈이 나가는지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화면을 안 봐도 알 수 있어야 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</si>
  <si>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크레딧 기준 원가</t>
    </r>
  </si>
  <si>
    <r>
      <rPr>
        <i val="true"/>
        <sz val="9"/>
        <color rgb="FF595959"/>
        <rFont val="Noto Sans CJK SC"/>
        <family val="2"/>
      </rPr>
      <t xml:space="preserve">이미지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장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컷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재생성 원가에 맞춘 값</t>
    </r>
  </si>
  <si>
    <t xml:space="preserve">적용 단가 모드</t>
  </si>
  <si>
    <r>
      <rPr>
        <b val="true"/>
        <sz val="12"/>
        <rFont val="Arial"/>
        <family val="0"/>
        <charset val="1"/>
      </rPr>
      <t xml:space="preserve">A. </t>
    </r>
    <r>
      <rPr>
        <b val="true"/>
        <sz val="12"/>
        <rFont val="Noto Sans CJK SC"/>
        <family val="2"/>
      </rPr>
      <t xml:space="preserve">액션별 크레딧 가격표</t>
    </r>
  </si>
  <si>
    <t xml:space="preserve">액션</t>
  </si>
  <si>
    <r>
      <rPr>
        <b val="true"/>
        <sz val="10"/>
        <color rgb="FFFFFFFF"/>
        <rFont val="Noto Sans CJK SC"/>
        <family val="2"/>
      </rPr>
      <t xml:space="preserve">실원가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적용모드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</si>
  <si>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크레딧</t>
  </si>
  <si>
    <t xml:space="preserve">크레딧 환산액</t>
  </si>
  <si>
    <t xml:space="preserve">원가 커버율</t>
  </si>
  <si>
    <t xml:space="preserve">설계 의도</t>
  </si>
  <si>
    <r>
      <rPr>
        <sz val="10"/>
        <rFont val="Noto Sans CJK SC"/>
        <family val="2"/>
      </rPr>
      <t xml:space="preserve">웹툰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화 생성 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컷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</si>
  <si>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이미지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장</t>
    </r>
    <r>
      <rPr>
        <i val="true"/>
        <sz val="9"/>
        <color rgb="FF595959"/>
        <rFont val="Arial"/>
        <family val="0"/>
        <charset val="1"/>
      </rPr>
      <t xml:space="preserve">(4) + </t>
    </r>
    <r>
      <rPr>
        <i val="true"/>
        <sz val="9"/>
        <color rgb="FF595959"/>
        <rFont val="Noto Sans CJK SC"/>
        <family val="2"/>
      </rPr>
      <t xml:space="preserve">콘티 텍스트</t>
    </r>
    <r>
      <rPr>
        <i val="true"/>
        <sz val="9"/>
        <color rgb="FF595959"/>
        <rFont val="Arial"/>
        <family val="0"/>
        <charset val="1"/>
      </rPr>
      <t xml:space="preserve">(2) + </t>
    </r>
    <r>
      <rPr>
        <i val="true"/>
        <sz val="9"/>
        <color rgb="FF595959"/>
        <rFont val="Noto Sans CJK SC"/>
        <family val="2"/>
      </rPr>
      <t xml:space="preserve">여유</t>
    </r>
    <r>
      <rPr>
        <i val="true"/>
        <sz val="9"/>
        <color rgb="FF595959"/>
        <rFont val="Arial"/>
        <family val="0"/>
        <charset val="1"/>
      </rPr>
      <t xml:space="preserve">(2). </t>
    </r>
    <r>
      <rPr>
        <i val="true"/>
        <sz val="9"/>
        <color rgb="FF595959"/>
        <rFont val="Noto Sans CJK SC"/>
        <family val="2"/>
      </rPr>
      <t xml:space="preserve">서비스의 기본 단위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</si>
  <si>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캐릭터 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스토리 설계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</si>
  <si>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캐릭터당 최초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이후 모든 화에 재사용되므로 싸게 가져감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</si>
  <si>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컷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</si>
  <si>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크레딧 정의의 기준점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 값이 흔들리면 전체 가격표가 흔들립니다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</si>
  <si>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재생성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피드백 반영</t>
    </r>
  </si>
  <si>
    <r>
      <rPr>
        <i val="true"/>
        <sz val="9"/>
        <color rgb="FF595959"/>
        <rFont val="Noto Sans CJK SC"/>
        <family val="2"/>
      </rPr>
      <t xml:space="preserve">원가 차이는 </t>
    </r>
    <r>
      <rPr>
        <i val="true"/>
        <sz val="9"/>
        <color rgb="FF595959"/>
        <rFont val="Arial"/>
        <family val="0"/>
        <charset val="1"/>
      </rPr>
      <t xml:space="preserve">30</t>
    </r>
    <r>
      <rPr>
        <i val="true"/>
        <sz val="9"/>
        <color rgb="FF595959"/>
        <rFont val="Noto Sans CJK SC"/>
        <family val="2"/>
      </rPr>
      <t xml:space="preserve">원뿐이지만 유저 가치가 훨씬 큼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가치 기반 가산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원가 근거 아님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</si>
  <si>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i val="true"/>
        <sz val="9"/>
        <color rgb="FF595959"/>
        <rFont val="Noto Sans CJK SC"/>
        <family val="2"/>
      </rPr>
      <t xml:space="preserve">같은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이미지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장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이므로 동일 가격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후보 장수는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장으로 고정해야 이 가격이 유지됩니다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</si>
  <si>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 콘티 전체 재작성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스토리만 다시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</si>
  <si>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그림 없이 텍스트만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그림 재생성보다 싸게 해서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스토리부터 고치기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를 유도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</si>
  <si>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스토리 단계 재생성 </t>
    </r>
    <r>
      <rPr>
        <sz val="10"/>
        <rFont val="Arial"/>
        <family val="0"/>
        <charset val="1"/>
      </rPr>
      <t xml:space="preserve">(SCENE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</si>
  <si>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원가 </t>
    </r>
    <r>
      <rPr>
        <i val="true"/>
        <sz val="9"/>
        <color rgb="FF595959"/>
        <rFont val="Arial"/>
        <family val="0"/>
        <charset val="1"/>
      </rPr>
      <t xml:space="preserve">40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무료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일 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회 상한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싼 곳에서 후하게 풀어야 서비스가 관대하게 느껴집니다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</si>
  <si>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 통째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그림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</si>
  <si>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가장 비싼 단일 액션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실행 전 확인 모달 필요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</si>
  <si>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커버율 </t>
    </r>
    <r>
      <rPr>
        <i val="true"/>
        <sz val="9"/>
        <color rgb="FF595959"/>
        <rFont val="Arial"/>
        <family val="0"/>
        <charset val="1"/>
      </rPr>
      <t xml:space="preserve">100% </t>
    </r>
    <r>
      <rPr>
        <i val="true"/>
        <sz val="9"/>
        <color rgb="FF595959"/>
        <rFont val="Noto Sans CJK SC"/>
        <family val="2"/>
      </rPr>
      <t xml:space="preserve">미만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그 액션은 팔수록 손해입니다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단가 모드를 ③보수로 바꿔보면 어디가 먼저 무너지는지 보입니다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</si>
  <si>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B. </t>
    </r>
    <r>
      <rPr>
        <b val="true"/>
        <sz val="12"/>
        <rFont val="Noto Sans CJK SC"/>
        <family val="2"/>
      </rPr>
      <t xml:space="preserve">화질 등급 배수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제타의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모델 변경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에 해당하는 축</t>
    </r>
    <r>
      <rPr>
        <b val="true"/>
        <sz val="12"/>
        <rFont val="Arial"/>
        <family val="0"/>
        <charset val="1"/>
      </rPr>
      <t xml:space="preserve">)</t>
    </r>
  </si>
  <si>
    <t xml:space="preserve">등급</t>
  </si>
  <si>
    <t xml:space="preserve">이미지 모델</t>
  </si>
  <si>
    <t xml:space="preserve">크레딧 배수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</si>
  <si>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화 크레딧</t>
    </r>
  </si>
  <si>
    <t xml:space="preserve">실측 여부</t>
  </si>
  <si>
    <t xml:space="preserve">스탠다드</t>
  </si>
  <si>
    <t xml:space="preserve">gemini-2.5-flash-image</t>
  </si>
  <si>
    <r>
      <rPr>
        <i val="true"/>
        <sz val="9"/>
        <color rgb="FF595959"/>
        <rFont val="Noto Sans CJK SC"/>
        <family val="2"/>
      </rPr>
      <t xml:space="preserve">미실측 — 추정치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측정 후 확정 필요</t>
    </r>
  </si>
  <si>
    <r>
      <rPr>
        <b val="true"/>
        <sz val="10"/>
        <rFont val="Noto Sans CJK SC"/>
        <family val="2"/>
      </rPr>
      <t xml:space="preserve">프리미엄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현재 기본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</si>
  <si>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실측 완료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현재 모든 단가의 기준</t>
    </r>
  </si>
  <si>
    <r>
      <rPr>
        <i val="true"/>
        <sz val="9"/>
        <color rgb="FF595959"/>
        <rFont val="Noto Sans CJK SC"/>
        <family val="2"/>
      </rPr>
      <t xml:space="preserve">※ 스탠다드 단가를 실측해야 이 등급제가 실제로 성립합니다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지금은 구조만 잡아둔 상태입니다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</si>
  <si>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C. </t>
    </r>
    <r>
      <rPr>
        <b val="true"/>
        <sz val="12"/>
        <rFont val="Noto Sans CJK SC"/>
        <family val="2"/>
      </rPr>
      <t xml:space="preserve">무료 크레딧 정책</t>
    </r>
  </si>
  <si>
    <t xml:space="preserve">원가</t>
  </si>
  <si>
    <t xml:space="preserve">근거</t>
  </si>
  <si>
    <r>
      <rPr>
        <sz val="10"/>
        <rFont val="Noto Sans CJK SC"/>
        <family val="2"/>
      </rPr>
      <t xml:space="preserve">신규 가입 지급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</si>
  <si>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캐릭터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Arial"/>
        <family val="0"/>
        <charset val="1"/>
      </rPr>
      <t xml:space="preserve">(3) + 1</t>
    </r>
    <r>
      <rPr>
        <i val="true"/>
        <sz val="9"/>
        <color rgb="FF595959"/>
        <rFont val="Noto Sans CJK SC"/>
        <family val="2"/>
      </rPr>
      <t xml:space="preserve">화</t>
    </r>
    <r>
      <rPr>
        <i val="true"/>
        <sz val="9"/>
        <color rgb="FF595959"/>
        <rFont val="Arial"/>
        <family val="0"/>
        <charset val="1"/>
      </rPr>
      <t xml:space="preserve">(8) + </t>
    </r>
    <r>
      <rPr>
        <i val="true"/>
        <sz val="9"/>
        <color rgb="FF595959"/>
        <rFont val="Noto Sans CJK SC"/>
        <family val="2"/>
      </rPr>
      <t xml:space="preserve">재생성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(1) = </t>
    </r>
    <r>
      <rPr>
        <i val="true"/>
        <sz val="9"/>
        <color rgb="FF595959"/>
        <rFont val="Noto Sans CJK SC"/>
        <family val="2"/>
      </rPr>
      <t xml:space="preserve">첫 경험 정확히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바퀴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유저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명 체험 원가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이 금액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</si>
  <si>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월 무료 리필</t>
  </si>
  <si>
    <r>
      <rPr>
        <i val="true"/>
        <sz val="9"/>
        <color rgb="FF595959"/>
        <rFont val="Noto Sans CJK SC"/>
        <family val="2"/>
      </rPr>
      <t xml:space="preserve">재방문 유도용 최소치</t>
    </r>
    <r>
      <rPr>
        <i val="true"/>
        <sz val="9"/>
        <color rgb="FF595959"/>
        <rFont val="Arial"/>
        <family val="0"/>
        <charset val="1"/>
      </rPr>
      <t xml:space="preserve">. 1</t>
    </r>
    <r>
      <rPr>
        <i val="true"/>
        <sz val="9"/>
        <color rgb="FF595959"/>
        <rFont val="Noto Sans CJK SC"/>
        <family val="2"/>
      </rPr>
      <t xml:space="preserve">화를 못 뽑는 양이라 의도적으로 부족하게 설계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</si>
  <si>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광고 시청에는 크레딧을 지급하지 않습니다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제타가 광고로 피스를 후하게 주는 건 텍스트 채팅이라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피스 원가가 수원대이기 때문입니다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우리는 크레딧당 </t>
    </r>
    <r>
      <rPr>
        <i val="true"/>
        <sz val="9"/>
        <color rgb="FF595959"/>
        <rFont val="Arial"/>
        <family val="0"/>
        <charset val="1"/>
      </rPr>
      <t xml:space="preserve">200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국내 리워드 광고는 뷰당 </t>
    </r>
    <r>
      <rPr>
        <i val="true"/>
        <sz val="9"/>
        <color rgb="FF595959"/>
        <rFont val="Arial"/>
        <family val="0"/>
        <charset val="1"/>
      </rPr>
      <t xml:space="preserve">10~20</t>
    </r>
    <r>
      <rPr>
        <i val="true"/>
        <sz val="9"/>
        <color rgb="FF595959"/>
        <rFont val="Noto Sans CJK SC"/>
        <family val="2"/>
      </rPr>
      <t xml:space="preserve">원이라 광고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회에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크레딧을 주면 회당 </t>
    </r>
    <r>
      <rPr>
        <i val="true"/>
        <sz val="9"/>
        <color rgb="FF595959"/>
        <rFont val="Arial"/>
        <family val="0"/>
        <charset val="1"/>
      </rPr>
      <t xml:space="preserve">180</t>
    </r>
    <r>
      <rPr>
        <i val="true"/>
        <sz val="9"/>
        <color rgb="FF595959"/>
        <rFont val="Noto Sans CJK SC"/>
        <family val="2"/>
      </rPr>
      <t xml:space="preserve">원 적자입니다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</si>
  <si>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C-2. </t>
    </r>
    <r>
      <rPr>
        <b val="true"/>
        <sz val="12"/>
        <rFont val="Noto Sans CJK SC"/>
        <family val="2"/>
      </rPr>
      <t xml:space="preserve">광고 보상 — 비크레딧 방식</t>
    </r>
  </si>
  <si>
    <r>
      <rPr>
        <i val="true"/>
        <sz val="9"/>
        <color rgb="FF595959"/>
        <rFont val="Noto Sans CJK SC"/>
        <family val="2"/>
      </rPr>
      <t xml:space="preserve">크레딧 대신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원가가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에 가까우면서 유료 결제 이유를 갉아먹지 않는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보상만 지급합니다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</si>
  <si>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보상</t>
  </si>
  <si>
    <t xml:space="preserve">채택</t>
  </si>
  <si>
    <t xml:space="preserve">추가 원가</t>
  </si>
  <si>
    <t xml:space="preserve">패스 혜택과 충돌</t>
  </si>
  <si>
    <t xml:space="preserve">설계 메모</t>
  </si>
  <si>
    <r>
      <rPr>
        <sz val="10"/>
        <rFont val="Noto Sans CJK SC"/>
        <family val="2"/>
      </rPr>
      <t xml:space="preserve">워터마크 제거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특정 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</si>
  <si>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</t>
    </r>
  </si>
  <si>
    <t xml:space="preserve">없음</t>
  </si>
  <si>
    <r>
      <rPr>
        <i val="true"/>
        <sz val="9"/>
        <color rgb="FF595959"/>
        <rFont val="Noto Sans CJK SC"/>
        <family val="2"/>
      </rPr>
      <t xml:space="preserve">영구 제거가 아니라 화 단위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상시 제거는 패스 전용으로 남겨두기 때문에 결제 이유를 침범하지 않습니다</t>
    </r>
    <r>
      <rPr>
        <i val="true"/>
        <sz val="9"/>
        <color rgb="FF595959"/>
        <rFont val="Arial"/>
        <family val="0"/>
        <charset val="1"/>
      </rPr>
      <t xml:space="preserve">. '</t>
    </r>
    <r>
      <rPr>
        <i val="true"/>
        <sz val="9"/>
        <color rgb="FF595959"/>
        <rFont val="Noto Sans CJK SC"/>
        <family val="2"/>
      </rPr>
      <t xml:space="preserve">이 화 예쁘게 나왔으니 깨끗하게 저장하고 싶다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는 순간에 광고가 붙어 타이밍도 자연스럽습니다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</si>
  <si>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생성 대기열 우선</t>
  </si>
  <si>
    <r>
      <rPr>
        <i val="true"/>
        <sz val="9"/>
        <color rgb="FF595959"/>
        <rFont val="Noto Sans CJK SC"/>
        <family val="2"/>
      </rPr>
      <t xml:space="preserve">큐 순서만 앞당김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원가는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인데 체감은 큽니다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유저가 몰릴수록 가치가 올라가는 보상이라 초기엔 효과가 약합니다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</si>
  <si>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저장 슬롯 확대</t>
  </si>
  <si>
    <t xml:space="preserve">스토리지만</t>
  </si>
  <si>
    <r>
      <rPr>
        <i val="true"/>
        <sz val="9"/>
        <color rgb="FF595959"/>
        <rFont val="Noto Sans CJK SC"/>
        <family val="2"/>
      </rPr>
      <t xml:space="preserve">캐릭터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화 보관 개수 상향</t>
    </r>
    <r>
      <rPr>
        <i val="true"/>
        <sz val="9"/>
        <color rgb="FF595959"/>
        <rFont val="Arial"/>
        <family val="0"/>
        <charset val="1"/>
      </rPr>
      <t xml:space="preserve">. API </t>
    </r>
    <r>
      <rPr>
        <i val="true"/>
        <sz val="9"/>
        <color rgb="FF595959"/>
        <rFont val="Noto Sans CJK SC"/>
        <family val="2"/>
      </rPr>
      <t xml:space="preserve">원가는 발생하지 않고 스토리지 비용만 늘어납니다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</si>
  <si>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공개 갤러리 상단 노출</t>
  </si>
  <si>
    <t xml:space="preserve">보류</t>
  </si>
  <si>
    <r>
      <rPr>
        <i val="true"/>
        <sz val="9"/>
        <color rgb="FF595959"/>
        <rFont val="Noto Sans CJK SC"/>
        <family val="2"/>
      </rPr>
      <t xml:space="preserve">커뮤니티 기능 도입 여부가 아직 미정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갤러리를 넣기로 결정한 뒤에 다시 검토합니다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</si>
  <si>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워터마크 영구 제거</t>
  </si>
  <si>
    <t xml:space="preserve">미채택</t>
  </si>
  <si>
    <t xml:space="preserve">충돌</t>
  </si>
  <si>
    <r>
      <rPr>
        <i val="true"/>
        <sz val="9"/>
        <color rgb="FF595959"/>
        <rFont val="Noto Sans CJK SC"/>
        <family val="2"/>
      </rPr>
      <t xml:space="preserve">패스 혜택과 정면으로 겹칩니다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광고 몇 번으로 유료 결제 이유가 대체되므로 광고 보상으로 쓰지 않습니다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</si>
  <si>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크레딧 지급</t>
  </si>
  <si>
    <r>
      <rPr>
        <sz val="10"/>
        <rFont val="Noto Sans CJK SC"/>
        <family val="2"/>
      </rPr>
      <t xml:space="preserve">회당 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원 적자</t>
    </r>
  </si>
  <si>
    <r>
      <rPr>
        <i val="true"/>
        <sz val="9"/>
        <color rgb="FF595959"/>
        <rFont val="Noto Sans CJK SC"/>
        <family val="2"/>
      </rPr>
      <t xml:space="preserve">위 ※ 참고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광고 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회당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크레딧이 손익분기인데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그건 유저 입장에서 사실상 없는 보상입니다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</si>
  <si>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원칙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광고 보상과 패스 혜택은 겹치면 안 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겹치는 순간 광고가 결제를 대체합니다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</si>
  <si>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이 설계에서는 광고가 원가를 늘리지 않으므로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광고 매출은 요금제손익 시트에 반영하지 않은 순수 상방입니다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</si>
  <si>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D. </t>
    </r>
    <r>
      <rPr>
        <b val="true"/>
        <sz val="12"/>
        <rFont val="Noto Sans CJK SC"/>
        <family val="2"/>
      </rPr>
      <t xml:space="preserve">유료 플랜</t>
    </r>
  </si>
  <si>
    <t xml:space="preserve">플랜</t>
  </si>
  <si>
    <t xml:space="preserve">월 가격</t>
  </si>
  <si>
    <t xml:space="preserve">지급 크레딧</t>
  </si>
  <si>
    <t xml:space="preserve">소진율</t>
  </si>
  <si>
    <t xml:space="preserve">실사용 크레딧</t>
  </si>
  <si>
    <t xml:space="preserve">원가율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</si>
  <si>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 월 마진</t>
    </r>
  </si>
  <si>
    <r>
      <rPr>
        <b val="true"/>
        <sz val="10"/>
        <rFont val="Arial"/>
        <family val="0"/>
        <charset val="1"/>
      </rPr>
      <t xml:space="preserve">Lore </t>
    </r>
    <r>
      <rPr>
        <b val="true"/>
        <sz val="10"/>
        <rFont val="Noto Sans CJK SC"/>
        <family val="2"/>
      </rPr>
      <t xml:space="preserve">패스</t>
    </r>
  </si>
  <si>
    <r>
      <rPr>
        <b val="true"/>
        <sz val="10"/>
        <rFont val="Arial"/>
        <family val="0"/>
        <charset val="1"/>
      </rPr>
      <t xml:space="preserve">Lore </t>
    </r>
    <r>
      <rPr>
        <b val="true"/>
        <sz val="10"/>
        <rFont val="Noto Sans CJK SC"/>
        <family val="2"/>
      </rPr>
      <t xml:space="preserve">패스</t>
    </r>
    <r>
      <rPr>
        <b val="true"/>
        <sz val="10"/>
        <rFont val="Arial"/>
        <family val="0"/>
        <charset val="1"/>
      </rPr>
      <t xml:space="preserve">+</t>
    </r>
  </si>
  <si>
    <r>
      <rPr>
        <b val="true"/>
        <sz val="10"/>
        <rFont val="Noto Sans CJK SC"/>
        <family val="2"/>
      </rPr>
      <t xml:space="preserve">충전 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</si>
  <si>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충전 </t>
    </r>
    <r>
      <rPr>
        <b val="true"/>
        <sz val="10"/>
        <rFont val="Arial"/>
        <family val="0"/>
        <charset val="1"/>
      </rPr>
      <t xml:space="preserve">30</t>
    </r>
  </si>
  <si>
    <r>
      <rPr>
        <b val="true"/>
        <sz val="10"/>
        <rFont val="Noto Sans CJK SC"/>
        <family val="2"/>
      </rPr>
      <t xml:space="preserve">충전 </t>
    </r>
    <r>
      <rPr>
        <b val="true"/>
        <sz val="10"/>
        <rFont val="Arial"/>
        <family val="0"/>
        <charset val="1"/>
      </rPr>
      <t xml:space="preserve">100</t>
    </r>
  </si>
  <si>
    <r>
      <rPr>
        <i val="true"/>
        <sz val="9"/>
        <color rgb="FF595959"/>
        <rFont val="Noto Sans CJK SC"/>
        <family val="2"/>
      </rPr>
      <t xml:space="preserve">※ 소진율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지급 크레딧 중 실제로 쓰이는 비율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구독은 안 쓰고 넘어가는 몫이 있어 </t>
    </r>
    <r>
      <rPr>
        <i val="true"/>
        <sz val="9"/>
        <color rgb="FF595959"/>
        <rFont val="Arial"/>
        <family val="0"/>
        <charset val="1"/>
      </rPr>
      <t xml:space="preserve">100% </t>
    </r>
    <r>
      <rPr>
        <i val="true"/>
        <sz val="9"/>
        <color rgb="FF595959"/>
        <rFont val="Noto Sans CJK SC"/>
        <family val="2"/>
      </rPr>
      <t xml:space="preserve">미만으로 잡습니다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가정치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</si>
  <si>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i val="true"/>
        <sz val="9"/>
        <color rgb="FF595959"/>
        <rFont val="Noto Sans CJK SC"/>
        <family val="2"/>
      </rPr>
      <t xml:space="preserve">※ 충전은 산 만큼 다 쓴다고 보고 소진율 </t>
    </r>
    <r>
      <rPr>
        <i val="true"/>
        <sz val="9"/>
        <color rgb="FF595959"/>
        <rFont val="Arial"/>
        <family val="0"/>
        <charset val="1"/>
      </rPr>
      <t xml:space="preserve">100%. </t>
    </r>
    <r>
      <rPr>
        <i val="true"/>
        <sz val="9"/>
        <color rgb="FF595959"/>
        <rFont val="Noto Sans CJK SC"/>
        <family val="2"/>
      </rPr>
      <t xml:space="preserve">그래서 구독보다 원가율이 높습니다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</si>
  <si>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E. </t>
    </r>
    <r>
      <rPr>
        <b val="true"/>
        <sz val="12"/>
        <rFont val="Noto Sans CJK SC"/>
        <family val="2"/>
      </rPr>
      <t xml:space="preserve">역산 — 목표 원가율에서 줄 수 있는 크레딧</t>
    </r>
  </si>
  <si>
    <t xml:space="preserve">목표 원가율</t>
  </si>
  <si>
    <t xml:space="preserve">이 값을 바꾸면 아래 표가 전부 다시 계산됩니다</t>
  </si>
  <si>
    <t xml:space="preserve">소진율 가정</t>
  </si>
  <si>
    <t xml:space="preserve">지급 가능 크레딧</t>
  </si>
  <si>
    <r>
      <rPr>
        <b val="true"/>
        <sz val="10"/>
        <color rgb="FFFFFFFF"/>
        <rFont val="Noto Sans CJK SC"/>
        <family val="2"/>
      </rPr>
      <t xml:space="preserve">월 몇 화</t>
    </r>
    <r>
      <rPr>
        <b val="true"/>
        <sz val="10"/>
        <color rgb="FFFFFFFF"/>
        <rFont val="Arial"/>
        <family val="0"/>
        <charset val="1"/>
      </rPr>
      <t xml:space="preserve">?</t>
    </r>
  </si>
  <si>
    <t xml:space="preserve">판단</t>
  </si>
  <si>
    <r>
      <rPr>
        <b val="true"/>
        <sz val="10"/>
        <rFont val="Noto Sans CJK SC"/>
        <family val="2"/>
      </rPr>
      <t xml:space="preserve">결론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지금 원가에서는 월 </t>
    </r>
    <r>
      <rPr>
        <b val="true"/>
        <sz val="10"/>
        <rFont val="Arial"/>
        <family val="0"/>
        <charset val="1"/>
      </rPr>
      <t xml:space="preserve">9,900</t>
    </r>
    <r>
      <rPr>
        <b val="true"/>
        <sz val="10"/>
        <rFont val="Noto Sans CJK SC"/>
        <family val="2"/>
      </rPr>
      <t xml:space="preserve">원에 줄 수 있는 게 </t>
    </r>
    <r>
      <rPr>
        <b val="true"/>
        <sz val="10"/>
        <rFont val="Arial"/>
        <family val="0"/>
        <charset val="1"/>
      </rPr>
      <t xml:space="preserve">2~3</t>
    </r>
    <r>
      <rPr>
        <b val="true"/>
        <sz val="10"/>
        <rFont val="Noto Sans CJK SC"/>
        <family val="2"/>
      </rPr>
      <t xml:space="preserve">화 수준입니다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이걸 </t>
    </r>
    <r>
      <rPr>
        <b val="true"/>
        <sz val="10"/>
        <rFont val="Arial"/>
        <family val="0"/>
        <charset val="1"/>
      </rPr>
      <t xml:space="preserve">4~5</t>
    </r>
    <r>
      <rPr>
        <b val="true"/>
        <sz val="10"/>
        <rFont val="Noto Sans CJK SC"/>
        <family val="2"/>
      </rPr>
      <t xml:space="preserve">화로 올리려면 크레딧 기준 원가를 </t>
    </r>
    <r>
      <rPr>
        <b val="true"/>
        <sz val="10"/>
        <rFont val="Arial"/>
        <family val="0"/>
        <charset val="1"/>
      </rPr>
      <t xml:space="preserve">200</t>
    </r>
    <r>
      <rPr>
        <b val="true"/>
        <sz val="10"/>
        <rFont val="Noto Sans CJK SC"/>
        <family val="2"/>
      </rPr>
      <t xml:space="preserve">원 → </t>
    </r>
    <r>
      <rPr>
        <b val="true"/>
        <sz val="10"/>
        <rFont val="Arial"/>
        <family val="0"/>
        <charset val="1"/>
      </rPr>
      <t xml:space="preserve">120</t>
    </r>
    <r>
      <rPr>
        <b val="true"/>
        <sz val="10"/>
        <rFont val="Noto Sans CJK SC"/>
        <family val="2"/>
      </rPr>
      <t xml:space="preserve">원대로 내려야 합니다</t>
    </r>
    <r>
      <rPr>
        <b val="true"/>
        <sz val="10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</si>
  <si>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원가를 내리는 수단</t>
    </r>
    <r>
      <rPr>
        <i val="true"/>
        <sz val="9"/>
        <color rgb="FF595959"/>
        <rFont val="Arial"/>
        <family val="0"/>
        <charset val="1"/>
      </rPr>
      <t xml:space="preserve">: ① </t>
    </r>
    <r>
      <rPr>
        <i val="true"/>
        <sz val="9"/>
        <color rgb="FF595959"/>
        <rFont val="Noto Sans CJK SC"/>
        <family val="2"/>
      </rPr>
      <t xml:space="preserve">스탠다드 화질 등급 실측 후 기본값으로 전환  ② 그림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콘티 게이트 재시도 횟수 상한  ③ 같은 캐릭터 시트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프롬프트 캐싱</t>
    </r>
  </si>
  <si>
    <r>
      <rPr>
        <i val="true"/>
        <sz val="9"/>
        <color rgb="FF595959"/>
        <rFont val="Noto Sans CJK SC"/>
        <family val="2"/>
      </rPr>
      <t xml:space="preserve">가격을 올리는 수단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자캐 유저층 결제 저항이 관건 — </t>
    </r>
    <r>
      <rPr>
        <i val="true"/>
        <sz val="9"/>
        <color rgb="FF595959"/>
        <rFont val="Arial"/>
        <family val="0"/>
        <charset val="1"/>
      </rPr>
      <t xml:space="preserve">8/19 </t>
    </r>
    <r>
      <rPr>
        <i val="true"/>
        <sz val="9"/>
        <color rgb="FF595959"/>
        <rFont val="Noto Sans CJK SC"/>
        <family val="2"/>
      </rPr>
      <t xml:space="preserve">검증 인터뷰에서 지불 의사 가격대를 같이 물어보면 이 표의 어느 행을 고를지가 정해집니다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</si>
  <si>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요금제 손익 — 유저 구성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규모</t>
    </r>
  </si>
  <si>
    <r>
      <rPr>
        <i val="true"/>
        <sz val="9"/>
        <color rgb="FF595959"/>
        <rFont val="Noto Sans CJK SC"/>
        <family val="2"/>
      </rPr>
      <t xml:space="preserve">보수적으로 구독 매출만 계산합니다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충전 매출 미포함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서버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스토리지 비용도 제외된 </t>
    </r>
    <r>
      <rPr>
        <i val="true"/>
        <sz val="9"/>
        <color rgb="FF595959"/>
        <rFont val="Arial"/>
        <family val="0"/>
        <charset val="1"/>
      </rPr>
      <t xml:space="preserve">API </t>
    </r>
    <r>
      <rPr>
        <i val="true"/>
        <sz val="9"/>
        <color rgb="FF595959"/>
        <rFont val="Noto Sans CJK SC"/>
        <family val="2"/>
      </rPr>
      <t xml:space="preserve">기준 손익입니다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</si>
  <si>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무료 유저 월 소진 크레딧</t>
  </si>
  <si>
    <r>
      <rPr>
        <i val="true"/>
        <sz val="9"/>
        <color rgb="FF595959"/>
        <rFont val="Noto Sans CJK SC"/>
        <family val="2"/>
      </rPr>
      <t xml:space="preserve">월 리필 </t>
    </r>
    <r>
      <rPr>
        <i val="true"/>
        <sz val="9"/>
        <color rgb="FF595959"/>
        <rFont val="Arial"/>
        <family val="0"/>
        <charset val="1"/>
      </rPr>
      <t xml:space="preserve">3 + </t>
    </r>
    <r>
      <rPr>
        <i val="true"/>
        <sz val="9"/>
        <color rgb="FF595959"/>
        <rFont val="Noto Sans CJK SC"/>
        <family val="2"/>
      </rPr>
      <t xml:space="preserve">광고 보상 일부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무료 유저는 매출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이므로 이 값이 순수 비용입니다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</si>
  <si>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활성 유저 구성과 </t>
    </r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인당 월 손익</t>
    </r>
  </si>
  <si>
    <t xml:space="preserve">유저 구분</t>
  </si>
  <si>
    <t xml:space="preserve">월 매출</t>
  </si>
  <si>
    <t xml:space="preserve">월 원가</t>
  </si>
  <si>
    <t xml:space="preserve">월 마진</t>
  </si>
  <si>
    <t xml:space="preserve">마진율</t>
  </si>
  <si>
    <t xml:space="preserve">무료</t>
  </si>
  <si>
    <r>
      <rPr>
        <b val="true"/>
        <sz val="10"/>
        <rFont val="Noto Sans CJK SC"/>
        <family val="2"/>
      </rPr>
      <t xml:space="preserve">가중평균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활성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</si>
  <si>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2"/>
        <rFont val="Arial"/>
        <family val="0"/>
        <charset val="1"/>
      </rPr>
      <t xml:space="preserve">2. </t>
    </r>
    <r>
      <rPr>
        <b val="true"/>
        <sz val="12"/>
        <rFont val="Noto Sans CJK SC"/>
        <family val="2"/>
      </rPr>
      <t xml:space="preserve">규모별 월 손익</t>
    </r>
  </si>
  <si>
    <t xml:space="preserve">유료 유저수</t>
  </si>
  <si>
    <r>
      <rPr>
        <b val="true"/>
        <sz val="12"/>
        <rFont val="Arial"/>
        <family val="0"/>
        <charset val="1"/>
      </rPr>
      <t xml:space="preserve">3. </t>
    </r>
    <r>
      <rPr>
        <b val="true"/>
        <sz val="12"/>
        <rFont val="Noto Sans CJK SC"/>
        <family val="2"/>
      </rPr>
      <t xml:space="preserve">손익분기 유료 전환율</t>
    </r>
  </si>
  <si>
    <r>
      <rPr>
        <b val="true"/>
        <sz val="10"/>
        <rFont val="Noto Sans CJK SC"/>
        <family val="2"/>
      </rPr>
      <t xml:space="preserve">무료 유저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명당 월 비용</t>
    </r>
  </si>
  <si>
    <r>
      <rPr>
        <b val="true"/>
        <sz val="10"/>
        <rFont val="Noto Sans CJK SC"/>
        <family val="2"/>
      </rPr>
      <t xml:space="preserve">패스 유저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명당 월 마진</t>
    </r>
  </si>
  <si>
    <t xml:space="preserve">필요 최소 전환율</t>
  </si>
  <si>
    <t xml:space="preserve">현재 가정 전환율</t>
  </si>
  <si>
    <r>
      <rPr>
        <i val="true"/>
        <sz val="9"/>
        <color rgb="FF595959"/>
        <rFont val="Noto Sans CJK SC"/>
        <family val="2"/>
      </rPr>
      <t xml:space="preserve">※ 이 표의 핵심은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무료 유저 비용을 유료 유저 마진이 몇 명분 감당하느냐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무료 크레딧이 후할수록 필요 전환율이 급격히 올라갑니다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</si>
  <si>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구성 비율</t>
    </r>
    <r>
      <rPr>
        <i val="true"/>
        <sz val="9"/>
        <color rgb="FF595959"/>
        <rFont val="Arial"/>
        <family val="0"/>
        <charset val="1"/>
      </rPr>
      <t xml:space="preserve">(85/12/3)</t>
    </r>
    <r>
      <rPr>
        <i val="true"/>
        <sz val="9"/>
        <color rgb="FF595959"/>
        <rFont val="Noto Sans CJK SC"/>
        <family val="2"/>
      </rPr>
      <t xml:space="preserve">은 실사용 데이터 없는 가정치입니다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국내 앱 구독 전환율은 통상 한 자릿수라 </t>
    </r>
    <r>
      <rPr>
        <i val="true"/>
        <sz val="9"/>
        <color rgb="FF595959"/>
        <rFont val="Arial"/>
        <family val="0"/>
        <charset val="1"/>
      </rPr>
      <t xml:space="preserve">12%</t>
    </r>
    <r>
      <rPr>
        <i val="true"/>
        <sz val="9"/>
        <color rgb="FF595959"/>
        <rFont val="Noto Sans CJK SC"/>
        <family val="2"/>
      </rPr>
      <t xml:space="preserve">는 낙관에 가깝습니다 — 낮춰보면서 감당 가능한지 확인하세요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</si>
  <si>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민감도 — 유저 규모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단가 시나리오</t>
    </r>
  </si>
  <si>
    <r>
      <rPr>
        <i val="true"/>
        <sz val="9"/>
        <color rgb="FF595959"/>
        <rFont val="Noto Sans CJK SC"/>
        <family val="2"/>
      </rPr>
      <t xml:space="preserve">활성률과 유저 타입 구성은 사용가정 시트 값을 그대로 사용합니다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</si>
  <si>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기능별 원가 비중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활성 유저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명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적용 모드</t>
    </r>
    <r>
      <rPr>
        <b val="true"/>
        <sz val="10"/>
        <rFont val="Arial"/>
        <family val="0"/>
        <charset val="1"/>
      </rPr>
      <t xml:space="preserve">)</t>
    </r>
  </si>
  <si>
    <t xml:space="preserve">기능</t>
  </si>
  <si>
    <t xml:space="preserve">비중</t>
  </si>
  <si>
    <r>
      <rPr>
        <sz val="10"/>
        <rFont val="Noto Sans CJK SC"/>
        <family val="2"/>
      </rPr>
      <t xml:space="preserve">캐릭터 셋업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스토리 설계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</si>
  <si>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웹툰 화 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그림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</si>
  <si>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이미지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</si>
  <si>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이미지 재생성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피드백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</si>
  <si>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콘티 재시도 </t>
    </r>
    <r>
      <rPr>
        <sz val="10"/>
        <rFont val="Arial"/>
        <family val="0"/>
        <charset val="1"/>
      </rPr>
      <t xml:space="preserve">(W7)</t>
    </r>
  </si>
  <si>
    <t xml:space="preserve">합계</t>
  </si>
  <si>
    <r>
      <rPr>
        <i val="true"/>
        <sz val="9"/>
        <color rgb="FF595959"/>
        <rFont val="Noto Sans CJK SC"/>
        <family val="2"/>
      </rPr>
      <t xml:space="preserve">※ 비중이 가장 큰 항목이 원가 관리의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순위 대상입니다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</si>
  <si>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그림 단계는 개발 로그에서도 전체 누적 비용의 </t>
    </r>
    <r>
      <rPr>
        <i val="true"/>
        <sz val="9"/>
        <color rgb="FF595959"/>
        <rFont val="Arial"/>
        <family val="0"/>
        <charset val="1"/>
      </rPr>
      <t xml:space="preserve">64%</t>
    </r>
    <r>
      <rPr>
        <i val="true"/>
        <sz val="9"/>
        <color rgb="FF595959"/>
        <rFont val="Noto Sans CJK SC"/>
        <family val="2"/>
      </rPr>
      <t xml:space="preserve">를 차지했습니다</t>
    </r>
    <r>
      <rPr>
        <i val="true"/>
        <sz val="9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</si>
</sst>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\원"/>
    <numFmt numFmtId="166" formatCode="0.0%"/>
    <numFmt numFmtId="167" formatCode="#,##0"/>
    <numFmt numFmtId="168" formatCode="#,##0.0"/>
    <numFmt numFmtId="169" formatCode="0.0\x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52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tr">
        <f aca="false">단가!C4</f>
        <v>여유(재시도 반영)</v>
      </c>
      <c r="C4" s="2" t="s">
        <v>3</v>
      </c>
    </row>
    <row r="6" customFormat="false" ht="19.4" hidden="false" customHeight="false" outlineLevel="0" collapsed="false">
      <c r="A6" s="5" t="s">
        <v>4</v>
      </c>
    </row>
    <row r="7" customFormat="false" ht="30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customFormat="false" ht="15" hidden="false" customHeight="false" outlineLevel="0" collapsed="false">
      <c r="A8" s="7" t="s">
        <v>10</v>
      </c>
      <c r="B8" s="8" t="n">
        <f aca="false">단가!G21</f>
        <v>570</v>
      </c>
      <c r="C8" s="9" t="n">
        <f aca="false">단가!D21</f>
        <v>487</v>
      </c>
      <c r="D8" s="9" t="n">
        <f aca="false">단가!F21</f>
        <v>700</v>
      </c>
      <c r="E8" s="10" t="s">
        <v>11</v>
      </c>
    </row>
    <row r="9" customFormat="false" ht="15" hidden="false" customHeight="false" outlineLevel="0" collapsed="false">
      <c r="A9" s="7" t="s">
        <v>12</v>
      </c>
      <c r="B9" s="8" t="n">
        <f aca="false">단가!G22</f>
        <v>1530</v>
      </c>
      <c r="C9" s="9" t="n">
        <f aca="false">단가!D22</f>
        <v>1125</v>
      </c>
      <c r="D9" s="9" t="n">
        <f aca="false">단가!F22</f>
        <v>2404</v>
      </c>
      <c r="E9" s="10" t="s">
        <v>13</v>
      </c>
    </row>
    <row r="10" customFormat="false" ht="15" hidden="false" customHeight="false" outlineLevel="0" collapsed="false">
      <c r="A10" s="7" t="s">
        <v>14</v>
      </c>
      <c r="B10" s="8" t="n">
        <f aca="false">단가!G23</f>
        <v>2100</v>
      </c>
      <c r="C10" s="9" t="n">
        <f aca="false">단가!D23</f>
        <v>1612</v>
      </c>
      <c r="D10" s="9" t="n">
        <f aca="false">단가!F23</f>
        <v>3104</v>
      </c>
      <c r="E10" s="10" t="s">
        <v>15</v>
      </c>
    </row>
    <row r="11" customFormat="false" ht="15" hidden="false" customHeight="false" outlineLevel="0" collapsed="false">
      <c r="A11" s="7" t="s">
        <v>16</v>
      </c>
      <c r="B11" s="8" t="n">
        <f aca="false">단가!G13</f>
        <v>195</v>
      </c>
      <c r="C11" s="9" t="n">
        <f aca="false">단가!D13</f>
        <v>188</v>
      </c>
      <c r="D11" s="9" t="n">
        <f aca="false">단가!F13</f>
        <v>250</v>
      </c>
      <c r="E11" s="10" t="s">
        <v>17</v>
      </c>
    </row>
    <row r="12" customFormat="false" ht="15" hidden="false" customHeight="false" outlineLevel="0" collapsed="false">
      <c r="A12" s="7" t="s">
        <v>18</v>
      </c>
      <c r="B12" s="8" t="n">
        <f aca="false">단가!G14</f>
        <v>225</v>
      </c>
      <c r="C12" s="9" t="n">
        <f aca="false">단가!D14</f>
        <v>202</v>
      </c>
      <c r="D12" s="9" t="n">
        <f aca="false">단가!F14</f>
        <v>290</v>
      </c>
      <c r="E12" s="10" t="s">
        <v>19</v>
      </c>
    </row>
    <row r="13" customFormat="false" ht="15" hidden="false" customHeight="false" outlineLevel="0" collapsed="false">
      <c r="A13" s="7" t="s">
        <v>20</v>
      </c>
      <c r="B13" s="8" t="n">
        <f aca="false">단가!G16</f>
        <v>430</v>
      </c>
      <c r="C13" s="9" t="n">
        <f aca="false">단가!D16</f>
        <v>347</v>
      </c>
      <c r="D13" s="9" t="n">
        <f aca="false">단가!F16</f>
        <v>500</v>
      </c>
      <c r="E13" s="10" t="s">
        <v>21</v>
      </c>
    </row>
    <row r="14" customFormat="false" ht="15" hidden="false" customHeight="false" outlineLevel="0" collapsed="false">
      <c r="A14" s="7" t="s">
        <v>22</v>
      </c>
      <c r="B14" s="8" t="n">
        <f aca="false">단가!G24</f>
        <v>1530</v>
      </c>
      <c r="C14" s="9" t="n">
        <f aca="false">단가!D24</f>
        <v>1125</v>
      </c>
      <c r="D14" s="9" t="n">
        <f aca="false">단가!F24</f>
        <v>2404</v>
      </c>
      <c r="E14" s="10" t="s">
        <v>23</v>
      </c>
    </row>
    <row r="15" customFormat="false" ht="15" hidden="false" customHeight="false" outlineLevel="0" collapsed="false">
      <c r="A15" s="7" t="s">
        <v>24</v>
      </c>
      <c r="B15" s="8" t="n">
        <f aca="false">단가!G19</f>
        <v>220</v>
      </c>
      <c r="C15" s="9" t="n">
        <f aca="false">단가!D19</f>
        <v>188</v>
      </c>
      <c r="D15" s="9" t="n">
        <f aca="false">단가!F19</f>
        <v>300</v>
      </c>
      <c r="E15" s="10" t="s">
        <v>25</v>
      </c>
    </row>
    <row r="17" customFormat="false" ht="19.4" hidden="false" customHeight="false" outlineLevel="0" collapsed="false">
      <c r="A17" s="5" t="s">
        <v>26</v>
      </c>
    </row>
    <row r="18" customFormat="false" ht="30" hidden="false" customHeight="true" outlineLevel="0" collapsed="false">
      <c r="A18" s="6" t="s">
        <v>27</v>
      </c>
      <c r="B18" s="6" t="s">
        <v>28</v>
      </c>
      <c r="C18" s="6" t="s">
        <v>29</v>
      </c>
      <c r="D18" s="6" t="s">
        <v>30</v>
      </c>
      <c r="E18" s="6" t="s">
        <v>31</v>
      </c>
    </row>
    <row r="19" customFormat="false" ht="15" hidden="false" customHeight="false" outlineLevel="0" collapsed="false">
      <c r="A19" s="11" t="str">
        <f aca="false">비용추정!A5</f>
        <v>체험형</v>
      </c>
      <c r="B19" s="12" t="n">
        <f aca="false">비용추정!B5</f>
        <v>0.6</v>
      </c>
      <c r="C19" s="13" t="n">
        <f aca="false">비용추정!F5</f>
        <v>2754</v>
      </c>
      <c r="D19" s="14" t="n">
        <f aca="false">C19*12</f>
        <v>33048</v>
      </c>
      <c r="E19" s="10" t="str">
        <f aca="false">사용가정!J8</f>
        <v>자캐 하나 넣어보고 1화만 뽑아보는 유입 유저</v>
      </c>
    </row>
    <row r="20" customFormat="false" ht="15" hidden="false" customHeight="false" outlineLevel="0" collapsed="false">
      <c r="A20" s="11" t="str">
        <f aca="false">비용추정!A6</f>
        <v>일반형</v>
      </c>
      <c r="B20" s="12" t="n">
        <f aca="false">비용추정!B6</f>
        <v>0.3</v>
      </c>
      <c r="C20" s="13" t="n">
        <f aca="false">비용추정!F6</f>
        <v>7876.5</v>
      </c>
      <c r="D20" s="14" t="n">
        <f aca="false">C20*12</f>
        <v>94518</v>
      </c>
      <c r="E20" s="10" t="str">
        <f aca="false">사용가정!J9</f>
        <v>자캐 커뮤니티 활동 유저. 마음에 드는 컷은 다시 뽑음</v>
      </c>
    </row>
    <row r="21" customFormat="false" ht="15" hidden="false" customHeight="false" outlineLevel="0" collapsed="false">
      <c r="A21" s="11" t="str">
        <f aca="false">비용추정!A7</f>
        <v>헤비형</v>
      </c>
      <c r="B21" s="12" t="n">
        <f aca="false">비용추정!B7</f>
        <v>0.1</v>
      </c>
      <c r="C21" s="13" t="n">
        <f aca="false">비용추정!F7</f>
        <v>20664</v>
      </c>
      <c r="D21" s="14" t="n">
        <f aca="false">C21*12</f>
        <v>247968</v>
      </c>
      <c r="E21" s="10" t="str">
        <f aca="false">사용가정!J10</f>
        <v>연재하듯 쓰는 코어 유저. 재생성 비중이 가장 큼</v>
      </c>
    </row>
    <row r="22" customFormat="false" ht="15" hidden="false" customHeight="false" outlineLevel="0" collapsed="false">
      <c r="A22" s="15" t="s">
        <v>32</v>
      </c>
      <c r="B22" s="16"/>
      <c r="C22" s="17" t="n">
        <f aca="false">비용추정!F8</f>
        <v>6081.75</v>
      </c>
      <c r="D22" s="18" t="n">
        <f aca="false">C22*12</f>
        <v>72981</v>
      </c>
      <c r="E22" s="16"/>
    </row>
    <row r="24" customFormat="false" ht="19.4" hidden="false" customHeight="false" outlineLevel="0" collapsed="false">
      <c r="A24" s="5" t="s">
        <v>33</v>
      </c>
    </row>
    <row r="25" customFormat="false" ht="30" hidden="false" customHeight="true" outlineLevel="0" collapsed="false">
      <c r="A25" s="6" t="s">
        <v>34</v>
      </c>
      <c r="B25" s="6" t="s">
        <v>35</v>
      </c>
      <c r="C25" s="6" t="s">
        <v>36</v>
      </c>
      <c r="D25" s="6" t="s">
        <v>37</v>
      </c>
      <c r="E25" s="6" t="s">
        <v>30</v>
      </c>
    </row>
    <row r="26" customFormat="false" ht="15" hidden="false" customHeight="false" outlineLevel="0" collapsed="false">
      <c r="A26" s="11" t="str">
        <f aca="false">비용추정!A12</f>
        <v>검증 (현재 목표)</v>
      </c>
      <c r="B26" s="19" t="n">
        <f aca="false">비용추정!B12</f>
        <v>10</v>
      </c>
      <c r="C26" s="20" t="n">
        <f aca="false">비용추정!C12</f>
        <v>6</v>
      </c>
      <c r="D26" s="13" t="n">
        <f aca="false">비용추정!G12</f>
        <v>36490.5</v>
      </c>
      <c r="E26" s="14" t="n">
        <f aca="false">D26*12</f>
        <v>437886</v>
      </c>
    </row>
    <row r="27" customFormat="false" ht="15" hidden="false" customHeight="false" outlineLevel="0" collapsed="false">
      <c r="A27" s="11" t="str">
        <f aca="false">비용추정!A13</f>
        <v>클로즈드 베타</v>
      </c>
      <c r="B27" s="19" t="n">
        <f aca="false">비용추정!B13</f>
        <v>50</v>
      </c>
      <c r="C27" s="20" t="n">
        <f aca="false">비용추정!C13</f>
        <v>30</v>
      </c>
      <c r="D27" s="13" t="n">
        <f aca="false">비용추정!G13</f>
        <v>182452.5</v>
      </c>
      <c r="E27" s="14" t="n">
        <f aca="false">D27*12</f>
        <v>2189430</v>
      </c>
    </row>
    <row r="28" customFormat="false" ht="15" hidden="false" customHeight="false" outlineLevel="0" collapsed="false">
      <c r="A28" s="11" t="str">
        <f aca="false">비용추정!A14</f>
        <v>오픈 베타</v>
      </c>
      <c r="B28" s="19" t="n">
        <f aca="false">비용추정!B14</f>
        <v>200</v>
      </c>
      <c r="C28" s="20" t="n">
        <f aca="false">비용추정!C14</f>
        <v>120</v>
      </c>
      <c r="D28" s="13" t="n">
        <f aca="false">비용추정!G14</f>
        <v>729810</v>
      </c>
      <c r="E28" s="14" t="n">
        <f aca="false">D28*12</f>
        <v>8757720</v>
      </c>
    </row>
    <row r="29" customFormat="false" ht="15" hidden="false" customHeight="false" outlineLevel="0" collapsed="false">
      <c r="A29" s="11" t="str">
        <f aca="false">비용추정!A15</f>
        <v>확산</v>
      </c>
      <c r="B29" s="19" t="n">
        <f aca="false">비용추정!B15</f>
        <v>500</v>
      </c>
      <c r="C29" s="20" t="n">
        <f aca="false">비용추정!C15</f>
        <v>300</v>
      </c>
      <c r="D29" s="13" t="n">
        <f aca="false">비용추정!G15</f>
        <v>1824525</v>
      </c>
      <c r="E29" s="14" t="n">
        <f aca="false">D29*12</f>
        <v>21894300</v>
      </c>
    </row>
    <row r="30" customFormat="false" ht="15" hidden="false" customHeight="false" outlineLevel="0" collapsed="false">
      <c r="A30" s="11" t="str">
        <f aca="false">비용추정!A16</f>
        <v>확산 +</v>
      </c>
      <c r="B30" s="19" t="n">
        <f aca="false">비용추정!B16</f>
        <v>1000</v>
      </c>
      <c r="C30" s="20" t="n">
        <f aca="false">비용추정!C16</f>
        <v>600</v>
      </c>
      <c r="D30" s="13" t="n">
        <f aca="false">비용추정!G16</f>
        <v>3649050</v>
      </c>
      <c r="E30" s="14" t="n">
        <f aca="false">D30*12</f>
        <v>43788600</v>
      </c>
    </row>
    <row r="33" customFormat="false" ht="19.4" hidden="false" customHeight="false" outlineLevel="0" collapsed="false">
      <c r="A33" s="5" t="s">
        <v>38</v>
      </c>
    </row>
    <row r="34" customFormat="false" ht="15" hidden="false" customHeight="false" outlineLevel="0" collapsed="false">
      <c r="A34" s="2" t="s">
        <v>39</v>
      </c>
    </row>
    <row r="35" customFormat="false" ht="15" hidden="false" customHeight="false" outlineLevel="0" collapsed="false">
      <c r="A35" s="2" t="s">
        <v>40</v>
      </c>
    </row>
    <row r="36" customFormat="false" ht="15" hidden="false" customHeight="false" outlineLevel="0" collapsed="false">
      <c r="A36" s="2" t="s">
        <v>41</v>
      </c>
    </row>
    <row r="37" customFormat="false" ht="15" hidden="false" customHeight="false" outlineLevel="0" collapsed="false">
      <c r="A37" s="2" t="s">
        <v>42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43</v>
      </c>
    </row>
    <row r="41" customFormat="false" ht="19.4" hidden="false" customHeight="false" outlineLevel="0" collapsed="false">
      <c r="A41" s="5" t="s">
        <v>44</v>
      </c>
    </row>
    <row r="42" customFormat="false" ht="30" hidden="false" customHeight="true" outlineLevel="0" collapsed="false">
      <c r="A42" s="6" t="s">
        <v>5</v>
      </c>
      <c r="B42" s="6" t="s">
        <v>45</v>
      </c>
      <c r="C42" s="6"/>
      <c r="D42" s="6"/>
      <c r="E42" s="6" t="s">
        <v>46</v>
      </c>
    </row>
    <row r="43" customFormat="false" ht="15" hidden="false" customHeight="false" outlineLevel="0" collapsed="false">
      <c r="A43" s="21" t="s">
        <v>47</v>
      </c>
      <c r="B43" s="22" t="n">
        <f aca="false">크레딧설계!$B$4</f>
        <v>200</v>
      </c>
      <c r="C43" s="23"/>
      <c r="D43" s="23"/>
      <c r="E43" s="10" t="s">
        <v>48</v>
      </c>
    </row>
    <row r="44" customFormat="false" ht="15" hidden="false" customHeight="false" outlineLevel="0" collapsed="false">
      <c r="A44" s="7" t="s">
        <v>49</v>
      </c>
      <c r="B44" s="24" t="str">
        <f aca="false">크레딧설계!$C$9&amp;"크레딧"</f>
        <v>8크레딧</v>
      </c>
      <c r="C44" s="23"/>
      <c r="D44" s="23"/>
      <c r="E44" s="10" t="s">
        <v>50</v>
      </c>
    </row>
    <row r="45" customFormat="false" ht="15" hidden="false" customHeight="false" outlineLevel="0" collapsed="false">
      <c r="A45" s="7" t="s">
        <v>51</v>
      </c>
      <c r="B45" s="24" t="str">
        <f aca="false">크레딧설계!$C$11&amp;"크레딧"</f>
        <v>1크레딧</v>
      </c>
      <c r="C45" s="23"/>
      <c r="D45" s="23"/>
      <c r="E45" s="10" t="s">
        <v>52</v>
      </c>
    </row>
    <row r="46" customFormat="false" ht="15" hidden="false" customHeight="false" outlineLevel="0" collapsed="false">
      <c r="A46" s="7" t="s">
        <v>53</v>
      </c>
      <c r="B46" s="24" t="str">
        <f aca="false">크레딧설계!$B$27&amp;"크레딧"</f>
        <v>12크레딧</v>
      </c>
      <c r="C46" s="23"/>
      <c r="D46" s="23"/>
      <c r="E46" s="10" t="s">
        <v>54</v>
      </c>
    </row>
    <row r="47" customFormat="false" ht="15" hidden="false" customHeight="false" outlineLevel="0" collapsed="false">
      <c r="A47" s="7" t="s">
        <v>55</v>
      </c>
      <c r="B47" s="22" t="n">
        <f aca="false">크레딧설계!$C$27</f>
        <v>2400</v>
      </c>
      <c r="C47" s="23"/>
      <c r="D47" s="23"/>
      <c r="E47" s="10" t="s">
        <v>56</v>
      </c>
    </row>
    <row r="48" customFormat="false" ht="15" hidden="false" customHeight="false" outlineLevel="0" collapsed="false">
      <c r="A48" s="21" t="s">
        <v>57</v>
      </c>
      <c r="B48" s="25" t="n">
        <f aca="false">크레딧설계!$G$44</f>
        <v>0.404040404040404</v>
      </c>
      <c r="C48" s="23"/>
      <c r="D48" s="23"/>
      <c r="E48" s="10" t="s">
        <v>58</v>
      </c>
    </row>
    <row r="49" customFormat="false" ht="15" hidden="false" customHeight="false" outlineLevel="0" collapsed="false">
      <c r="A49" s="7" t="s">
        <v>59</v>
      </c>
      <c r="B49" s="22" t="n">
        <f aca="false">요금제손익!$E$11</f>
        <v>344.5</v>
      </c>
      <c r="C49" s="23"/>
      <c r="D49" s="23"/>
      <c r="E49" s="10" t="s">
        <v>60</v>
      </c>
    </row>
    <row r="50" customFormat="false" ht="15" hidden="false" customHeight="false" outlineLevel="0" collapsed="false">
      <c r="A50" s="7" t="s">
        <v>61</v>
      </c>
      <c r="B50" s="25" t="n">
        <f aca="false">요금제손익!$B$24</f>
        <v>0.119402985074627</v>
      </c>
      <c r="C50" s="23"/>
      <c r="D50" s="23"/>
      <c r="E50" s="1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21.6" hidden="false" customHeight="false" outlineLevel="0" collapsed="false">
      <c r="A1" s="26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3" t="s">
        <v>65</v>
      </c>
      <c r="B4" s="27" t="n">
        <v>2</v>
      </c>
      <c r="C4" s="3" t="str">
        <f aca="false">CHOOSE(B4,"실측(오늘 완주 기준)","여유(재시도 반영)","보수(최악 케이스)")</f>
        <v>여유(재시도 반영)</v>
      </c>
    </row>
    <row r="6" customFormat="false" ht="30" hidden="false" customHeight="true" outlineLevel="0" collapsed="false">
      <c r="A6" s="6" t="s">
        <v>5</v>
      </c>
      <c r="B6" s="6" t="s">
        <v>66</v>
      </c>
      <c r="C6" s="6" t="s">
        <v>67</v>
      </c>
      <c r="D6" s="6" t="s">
        <v>7</v>
      </c>
      <c r="E6" s="6" t="s">
        <v>68</v>
      </c>
      <c r="F6" s="6" t="s">
        <v>8</v>
      </c>
      <c r="G6" s="6" t="s">
        <v>69</v>
      </c>
      <c r="H6" s="6" t="s">
        <v>70</v>
      </c>
    </row>
    <row r="7" customFormat="false" ht="15" hidden="false" customHeight="false" outlineLevel="0" collapsed="false">
      <c r="A7" s="28" t="s">
        <v>71</v>
      </c>
      <c r="B7" s="29"/>
      <c r="C7" s="29"/>
      <c r="D7" s="29"/>
      <c r="E7" s="29"/>
      <c r="F7" s="29"/>
      <c r="G7" s="29"/>
      <c r="H7" s="29"/>
    </row>
    <row r="8" customFormat="false" ht="30" hidden="false" customHeight="true" outlineLevel="0" collapsed="false">
      <c r="A8" s="7" t="s">
        <v>72</v>
      </c>
      <c r="B8" s="7" t="s">
        <v>73</v>
      </c>
      <c r="C8" s="21" t="s">
        <v>74</v>
      </c>
      <c r="D8" s="30" t="n">
        <v>299</v>
      </c>
      <c r="E8" s="30" t="n">
        <v>350</v>
      </c>
      <c r="F8" s="30" t="n">
        <v>400</v>
      </c>
      <c r="G8" s="31" t="n">
        <f aca="false">CHOOSE($B$4,D8,E8,F8)</f>
        <v>350</v>
      </c>
      <c r="H8" s="32" t="s">
        <v>75</v>
      </c>
    </row>
    <row r="9" customFormat="false" ht="30" hidden="false" customHeight="true" outlineLevel="0" collapsed="false">
      <c r="A9" s="7" t="s">
        <v>76</v>
      </c>
      <c r="B9" s="7" t="s">
        <v>77</v>
      </c>
      <c r="C9" s="21" t="s">
        <v>78</v>
      </c>
      <c r="D9" s="30" t="n">
        <v>188</v>
      </c>
      <c r="E9" s="30" t="n">
        <v>220</v>
      </c>
      <c r="F9" s="30" t="n">
        <v>300</v>
      </c>
      <c r="G9" s="31" t="n">
        <f aca="false">CHOOSE($B$4,D9,E9,F9)</f>
        <v>220</v>
      </c>
      <c r="H9" s="32" t="s">
        <v>79</v>
      </c>
    </row>
    <row r="10" customFormat="false" ht="30" hidden="false" customHeight="true" outlineLevel="0" collapsed="false">
      <c r="A10" s="7" t="s">
        <v>80</v>
      </c>
      <c r="B10" s="21" t="s">
        <v>81</v>
      </c>
      <c r="C10" s="21" t="s">
        <v>74</v>
      </c>
      <c r="D10" s="30" t="n">
        <v>347</v>
      </c>
      <c r="E10" s="30" t="n">
        <v>430</v>
      </c>
      <c r="F10" s="30" t="n">
        <v>500</v>
      </c>
      <c r="G10" s="31" t="n">
        <f aca="false">CHOOSE($B$4,D10,E10,F10)</f>
        <v>430</v>
      </c>
      <c r="H10" s="32" t="s">
        <v>82</v>
      </c>
    </row>
    <row r="11" customFormat="false" ht="30" hidden="false" customHeight="true" outlineLevel="0" collapsed="false">
      <c r="A11" s="7" t="s">
        <v>83</v>
      </c>
      <c r="B11" s="21" t="s">
        <v>81</v>
      </c>
      <c r="C11" s="21" t="s">
        <v>84</v>
      </c>
      <c r="D11" s="30" t="n">
        <v>778</v>
      </c>
      <c r="E11" s="30" t="n">
        <v>1100</v>
      </c>
      <c r="F11" s="30" t="n">
        <v>1904</v>
      </c>
      <c r="G11" s="31" t="n">
        <f aca="false">CHOOSE($B$4,D11,E11,F11)</f>
        <v>1100</v>
      </c>
      <c r="H11" s="32" t="s">
        <v>85</v>
      </c>
    </row>
    <row r="12" customFormat="false" ht="15" hidden="false" customHeight="false" outlineLevel="0" collapsed="false">
      <c r="A12" s="28" t="s">
        <v>86</v>
      </c>
      <c r="B12" s="29"/>
      <c r="C12" s="29"/>
      <c r="D12" s="29"/>
      <c r="E12" s="29"/>
      <c r="F12" s="29"/>
      <c r="G12" s="29"/>
      <c r="H12" s="29"/>
    </row>
    <row r="13" customFormat="false" ht="25.5" hidden="false" customHeight="true" outlineLevel="0" collapsed="false">
      <c r="A13" s="7" t="s">
        <v>87</v>
      </c>
      <c r="B13" s="21" t="s">
        <v>88</v>
      </c>
      <c r="C13" s="21" t="s">
        <v>84</v>
      </c>
      <c r="D13" s="30" t="n">
        <v>188</v>
      </c>
      <c r="E13" s="30" t="n">
        <v>195</v>
      </c>
      <c r="F13" s="30" t="n">
        <v>250</v>
      </c>
      <c r="G13" s="31" t="n">
        <f aca="false">CHOOSE($B$4,D13,E13,F13)</f>
        <v>195</v>
      </c>
      <c r="H13" s="32" t="s">
        <v>89</v>
      </c>
    </row>
    <row r="14" customFormat="false" ht="25.5" hidden="false" customHeight="true" outlineLevel="0" collapsed="false">
      <c r="A14" s="7" t="s">
        <v>18</v>
      </c>
      <c r="B14" s="21" t="s">
        <v>88</v>
      </c>
      <c r="C14" s="7" t="s">
        <v>90</v>
      </c>
      <c r="D14" s="30" t="n">
        <v>202</v>
      </c>
      <c r="E14" s="30" t="n">
        <v>225</v>
      </c>
      <c r="F14" s="30" t="n">
        <v>290</v>
      </c>
      <c r="G14" s="31" t="n">
        <f aca="false">CHOOSE($B$4,D14,E14,F14)</f>
        <v>225</v>
      </c>
      <c r="H14" s="32" t="s">
        <v>91</v>
      </c>
    </row>
    <row r="15" customFormat="false" ht="25.5" hidden="false" customHeight="true" outlineLevel="0" collapsed="false">
      <c r="A15" s="7" t="s">
        <v>92</v>
      </c>
      <c r="B15" s="21" t="s">
        <v>93</v>
      </c>
      <c r="C15" s="21" t="s">
        <v>74</v>
      </c>
      <c r="D15" s="30" t="n">
        <v>116</v>
      </c>
      <c r="E15" s="30" t="n">
        <v>131</v>
      </c>
      <c r="F15" s="30" t="n">
        <v>180</v>
      </c>
      <c r="G15" s="31" t="n">
        <f aca="false">CHOOSE($B$4,D15,E15,F15)</f>
        <v>131</v>
      </c>
      <c r="H15" s="32" t="s">
        <v>94</v>
      </c>
    </row>
    <row r="16" customFormat="false" ht="25.5" hidden="false" customHeight="true" outlineLevel="0" collapsed="false">
      <c r="A16" s="7" t="s">
        <v>95</v>
      </c>
      <c r="B16" s="21" t="s">
        <v>81</v>
      </c>
      <c r="C16" s="21" t="s">
        <v>74</v>
      </c>
      <c r="D16" s="30" t="n">
        <v>347</v>
      </c>
      <c r="E16" s="30" t="n">
        <v>430</v>
      </c>
      <c r="F16" s="30" t="n">
        <v>500</v>
      </c>
      <c r="G16" s="31" t="n">
        <f aca="false">CHOOSE($B$4,D16,E16,F16)</f>
        <v>430</v>
      </c>
      <c r="H16" s="32" t="s">
        <v>96</v>
      </c>
    </row>
    <row r="17" customFormat="false" ht="25.5" hidden="false" customHeight="true" outlineLevel="0" collapsed="false">
      <c r="A17" s="7" t="s">
        <v>97</v>
      </c>
      <c r="B17" s="21" t="s">
        <v>93</v>
      </c>
      <c r="C17" s="21" t="s">
        <v>74</v>
      </c>
      <c r="D17" s="30" t="n">
        <v>33</v>
      </c>
      <c r="E17" s="30" t="n">
        <v>40</v>
      </c>
      <c r="F17" s="30" t="n">
        <v>60</v>
      </c>
      <c r="G17" s="31" t="n">
        <f aca="false">CHOOSE($B$4,D17,E17,F17)</f>
        <v>40</v>
      </c>
      <c r="H17" s="32" t="s">
        <v>98</v>
      </c>
    </row>
    <row r="18" customFormat="false" ht="25.5" hidden="false" customHeight="true" outlineLevel="0" collapsed="false">
      <c r="A18" s="7" t="s">
        <v>99</v>
      </c>
      <c r="B18" s="7" t="s">
        <v>73</v>
      </c>
      <c r="C18" s="21" t="s">
        <v>74</v>
      </c>
      <c r="D18" s="30" t="n">
        <v>299</v>
      </c>
      <c r="E18" s="30" t="n">
        <v>350</v>
      </c>
      <c r="F18" s="30" t="n">
        <v>400</v>
      </c>
      <c r="G18" s="31" t="n">
        <f aca="false">CHOOSE($B$4,D18,E18,F18)</f>
        <v>350</v>
      </c>
      <c r="H18" s="32" t="s">
        <v>100</v>
      </c>
    </row>
    <row r="19" customFormat="false" ht="25.5" hidden="false" customHeight="true" outlineLevel="0" collapsed="false">
      <c r="A19" s="7" t="s">
        <v>24</v>
      </c>
      <c r="B19" s="21" t="s">
        <v>101</v>
      </c>
      <c r="C19" s="21" t="s">
        <v>78</v>
      </c>
      <c r="D19" s="30" t="n">
        <v>188</v>
      </c>
      <c r="E19" s="30" t="n">
        <v>220</v>
      </c>
      <c r="F19" s="30" t="n">
        <v>300</v>
      </c>
      <c r="G19" s="31" t="n">
        <f aca="false">CHOOSE($B$4,D19,E19,F19)</f>
        <v>220</v>
      </c>
      <c r="H19" s="32" t="s">
        <v>102</v>
      </c>
    </row>
    <row r="20" customFormat="false" ht="15" hidden="false" customHeight="false" outlineLevel="0" collapsed="false">
      <c r="A20" s="28" t="s">
        <v>103</v>
      </c>
      <c r="B20" s="29"/>
      <c r="C20" s="29"/>
      <c r="D20" s="29"/>
      <c r="E20" s="29"/>
      <c r="F20" s="29"/>
      <c r="G20" s="29"/>
      <c r="H20" s="29"/>
    </row>
    <row r="21" customFormat="false" ht="15" hidden="false" customHeight="false" outlineLevel="0" collapsed="false">
      <c r="A21" s="33" t="s">
        <v>104</v>
      </c>
      <c r="B21" s="7" t="s">
        <v>73</v>
      </c>
      <c r="C21" s="21" t="s">
        <v>105</v>
      </c>
      <c r="D21" s="14" t="n">
        <f aca="false">D8+D9</f>
        <v>487</v>
      </c>
      <c r="E21" s="14" t="n">
        <f aca="false">E8+E9</f>
        <v>570</v>
      </c>
      <c r="F21" s="14" t="n">
        <f aca="false">F8+F9</f>
        <v>700</v>
      </c>
      <c r="G21" s="34" t="n">
        <f aca="false">CHOOSE($B$4,D21,E21,F21)</f>
        <v>570</v>
      </c>
      <c r="H21" s="32" t="s">
        <v>106</v>
      </c>
    </row>
    <row r="22" customFormat="false" ht="15" hidden="false" customHeight="false" outlineLevel="0" collapsed="false">
      <c r="A22" s="33" t="s">
        <v>107</v>
      </c>
      <c r="B22" s="21" t="s">
        <v>81</v>
      </c>
      <c r="C22" s="21" t="s">
        <v>105</v>
      </c>
      <c r="D22" s="14" t="n">
        <f aca="false">D10+D11</f>
        <v>1125</v>
      </c>
      <c r="E22" s="14" t="n">
        <f aca="false">E10+E11</f>
        <v>1530</v>
      </c>
      <c r="F22" s="14" t="n">
        <f aca="false">F10+F11</f>
        <v>2404</v>
      </c>
      <c r="G22" s="34" t="n">
        <f aca="false">CHOOSE($B$4,D22,E22,F22)</f>
        <v>1530</v>
      </c>
      <c r="H22" s="32" t="s">
        <v>108</v>
      </c>
    </row>
    <row r="23" customFormat="false" ht="15" hidden="false" customHeight="false" outlineLevel="0" collapsed="false">
      <c r="A23" s="33" t="s">
        <v>109</v>
      </c>
      <c r="B23" s="7" t="s">
        <v>110</v>
      </c>
      <c r="C23" s="21" t="s">
        <v>105</v>
      </c>
      <c r="D23" s="14" t="n">
        <f aca="false">D21+D22</f>
        <v>1612</v>
      </c>
      <c r="E23" s="14" t="n">
        <f aca="false">E21+E22</f>
        <v>2100</v>
      </c>
      <c r="F23" s="14" t="n">
        <f aca="false">F21+F22</f>
        <v>3104</v>
      </c>
      <c r="G23" s="34" t="n">
        <f aca="false">CHOOSE($B$4,D23,E23,F23)</f>
        <v>2100</v>
      </c>
      <c r="H23" s="32" t="s">
        <v>111</v>
      </c>
    </row>
    <row r="24" customFormat="false" ht="15" hidden="false" customHeight="false" outlineLevel="0" collapsed="false">
      <c r="A24" s="33" t="s">
        <v>112</v>
      </c>
      <c r="B24" s="21" t="s">
        <v>81</v>
      </c>
      <c r="C24" s="21" t="s">
        <v>105</v>
      </c>
      <c r="D24" s="14" t="n">
        <f aca="false">D16+D11</f>
        <v>1125</v>
      </c>
      <c r="E24" s="14" t="n">
        <f aca="false">E16+E11</f>
        <v>1530</v>
      </c>
      <c r="F24" s="14" t="n">
        <f aca="false">F16+F11</f>
        <v>2404</v>
      </c>
      <c r="G24" s="34" t="n">
        <f aca="false">CHOOSE($B$4,D24,E24,F24)</f>
        <v>1530</v>
      </c>
      <c r="H24" s="32" t="s">
        <v>113</v>
      </c>
    </row>
    <row r="26" customFormat="false" ht="15" hidden="false" customHeight="false" outlineLevel="0" collapsed="false">
      <c r="A26" s="2" t="s">
        <v>114</v>
      </c>
    </row>
    <row r="27" customFormat="false" ht="15" hidden="false" customHeight="false" outlineLevel="0" collapsed="false">
      <c r="A27" s="2" t="s">
        <v>115</v>
      </c>
    </row>
    <row r="28" customFormat="false" ht="15" hidden="false" customHeight="false" outlineLevel="0" collapsed="false">
      <c r="A28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35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119</v>
      </c>
      <c r="B4" s="36" t="n">
        <v>0.6</v>
      </c>
      <c r="C4" s="2" t="s">
        <v>120</v>
      </c>
    </row>
    <row r="5" customFormat="false" ht="15" hidden="false" customHeight="false" outlineLevel="0" collapsed="false">
      <c r="A5" s="3" t="s">
        <v>121</v>
      </c>
      <c r="B5" s="37" t="s">
        <v>122</v>
      </c>
      <c r="C5" s="2" t="s">
        <v>123</v>
      </c>
    </row>
    <row r="7" customFormat="false" ht="30" hidden="false" customHeight="true" outlineLevel="0" collapsed="false">
      <c r="A7" s="6" t="s">
        <v>27</v>
      </c>
      <c r="B7" s="6" t="s">
        <v>28</v>
      </c>
      <c r="C7" s="6" t="s">
        <v>124</v>
      </c>
      <c r="D7" s="6" t="s">
        <v>125</v>
      </c>
      <c r="E7" s="6" t="s">
        <v>126</v>
      </c>
      <c r="F7" s="6" t="s">
        <v>127</v>
      </c>
      <c r="G7" s="6" t="s">
        <v>128</v>
      </c>
      <c r="H7" s="6" t="s">
        <v>129</v>
      </c>
      <c r="I7" s="6" t="s">
        <v>130</v>
      </c>
      <c r="J7" s="6" t="s">
        <v>31</v>
      </c>
    </row>
    <row r="8" customFormat="false" ht="15" hidden="false" customHeight="false" outlineLevel="0" collapsed="false">
      <c r="A8" s="33" t="s">
        <v>131</v>
      </c>
      <c r="B8" s="38" t="n">
        <v>0.6</v>
      </c>
      <c r="C8" s="39" t="n">
        <v>1</v>
      </c>
      <c r="D8" s="39" t="n">
        <v>0.3</v>
      </c>
      <c r="E8" s="39" t="n">
        <v>1</v>
      </c>
      <c r="F8" s="39" t="n">
        <v>0.5</v>
      </c>
      <c r="G8" s="39" t="n">
        <v>0.5</v>
      </c>
      <c r="H8" s="39" t="n">
        <v>2</v>
      </c>
      <c r="I8" s="39" t="n">
        <v>0.5</v>
      </c>
      <c r="J8" s="10" t="s">
        <v>132</v>
      </c>
    </row>
    <row r="9" customFormat="false" ht="15" hidden="false" customHeight="false" outlineLevel="0" collapsed="false">
      <c r="A9" s="33" t="s">
        <v>133</v>
      </c>
      <c r="B9" s="38" t="n">
        <v>0.3</v>
      </c>
      <c r="C9" s="39" t="n">
        <v>2</v>
      </c>
      <c r="D9" s="39" t="n">
        <v>1</v>
      </c>
      <c r="E9" s="39" t="n">
        <v>3</v>
      </c>
      <c r="F9" s="39" t="n">
        <v>2</v>
      </c>
      <c r="G9" s="39" t="n">
        <v>1.5</v>
      </c>
      <c r="H9" s="39" t="n">
        <v>5</v>
      </c>
      <c r="I9" s="39" t="n">
        <v>3</v>
      </c>
      <c r="J9" s="10" t="s">
        <v>134</v>
      </c>
    </row>
    <row r="10" customFormat="false" ht="15" hidden="false" customHeight="false" outlineLevel="0" collapsed="false">
      <c r="A10" s="33" t="s">
        <v>135</v>
      </c>
      <c r="B10" s="38" t="n">
        <v>0.1</v>
      </c>
      <c r="C10" s="39" t="n">
        <v>4</v>
      </c>
      <c r="D10" s="39" t="n">
        <v>2</v>
      </c>
      <c r="E10" s="39" t="n">
        <v>8</v>
      </c>
      <c r="F10" s="39" t="n">
        <v>5</v>
      </c>
      <c r="G10" s="39" t="n">
        <v>4</v>
      </c>
      <c r="H10" s="39" t="n">
        <v>14</v>
      </c>
      <c r="I10" s="39" t="n">
        <v>10</v>
      </c>
      <c r="J10" s="10" t="s">
        <v>136</v>
      </c>
    </row>
    <row r="11" customFormat="false" ht="15" hidden="false" customHeight="false" outlineLevel="0" collapsed="false">
      <c r="A11" s="3" t="s">
        <v>137</v>
      </c>
      <c r="B11" s="40" t="n">
        <f aca="false">SUM(B8:B10)</f>
        <v>1</v>
      </c>
      <c r="C11" s="3" t="str">
        <f aca="false">IF(ABS(B11-1)&lt;0.001,"OK","비율 합계를 100%로 맞추세요")</f>
        <v>OK</v>
      </c>
    </row>
    <row r="13" customFormat="false" ht="15" hidden="false" customHeight="false" outlineLevel="0" collapsed="false">
      <c r="A13" s="3" t="s">
        <v>138</v>
      </c>
    </row>
    <row r="14" customFormat="false" ht="15" hidden="false" customHeight="false" outlineLevel="0" collapsed="false">
      <c r="A14" s="41" t="s">
        <v>139</v>
      </c>
    </row>
    <row r="15" customFormat="false" ht="15" hidden="false" customHeight="false" outlineLevel="0" collapsed="false">
      <c r="A15" s="41" t="s">
        <v>140</v>
      </c>
    </row>
    <row r="16" customFormat="false" ht="15" hidden="false" customHeight="false" outlineLevel="0" collapsed="false">
      <c r="A16" s="41" t="s">
        <v>141</v>
      </c>
    </row>
    <row r="17" customFormat="false" ht="15" hidden="false" customHeight="false" outlineLevel="0" collapsed="false">
      <c r="A17" s="4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8" min="3" style="0" width="16"/>
  </cols>
  <sheetData>
    <row r="1" customFormat="false" ht="21.6" hidden="false" customHeight="false" outlineLevel="0" collapsed="false">
      <c r="A1" s="35" t="s">
        <v>143</v>
      </c>
    </row>
    <row r="2" customFormat="false" ht="15" hidden="false" customHeight="false" outlineLevel="0" collapsed="false">
      <c r="A2" s="2" t="s">
        <v>144</v>
      </c>
    </row>
    <row r="4" customFormat="false" ht="30" hidden="false" customHeight="true" outlineLevel="0" collapsed="false">
      <c r="A4" s="6" t="s">
        <v>27</v>
      </c>
      <c r="B4" s="6" t="s">
        <v>28</v>
      </c>
      <c r="C4" s="6" t="s">
        <v>145</v>
      </c>
      <c r="D4" s="6" t="s">
        <v>146</v>
      </c>
      <c r="E4" s="6" t="s">
        <v>147</v>
      </c>
      <c r="F4" s="6" t="s">
        <v>148</v>
      </c>
    </row>
    <row r="5" customFormat="false" ht="15" hidden="false" customHeight="false" outlineLevel="0" collapsed="false">
      <c r="A5" s="11" t="str">
        <f aca="false">사용가정!A8</f>
        <v>체험형</v>
      </c>
      <c r="B5" s="12" t="n">
        <f aca="false">사용가정!B8</f>
        <v>0.6</v>
      </c>
      <c r="C5" s="14" t="n">
        <f aca="false">사용가정!C8*(단가!$D$8+단가!$D$9)+사용가정!D8*단가!$D$19+사용가정!E8*(단가!$D$10+단가!$D$11)+사용가정!F8*단가!$D$17+사용가정!G8*단가!$D$15+사용가정!H8*단가!$D$13+사용가정!I8*단가!$D$14</f>
        <v>2219.9</v>
      </c>
      <c r="D5" s="14" t="n">
        <f aca="false">사용가정!C8*(단가!$E$8+단가!$E$9)+사용가정!D8*단가!$E$19+사용가정!E8*(단가!$E$10+단가!$E$11)+사용가정!F8*단가!$E$17+사용가정!G8*단가!$E$15+사용가정!H8*단가!$E$13+사용가정!I8*단가!$E$14</f>
        <v>2754</v>
      </c>
      <c r="E5" s="14" t="n">
        <f aca="false">사용가정!C8*(단가!$F$8+단가!$F$9)+사용가정!D8*단가!$F$19+사용가정!E8*(단가!$F$10+단가!$F$11)+사용가정!F8*단가!$F$17+사용가정!G8*단가!$F$15+사용가정!H8*단가!$F$13+사용가정!I8*단가!$F$14</f>
        <v>3959</v>
      </c>
      <c r="F5" s="34" t="n">
        <f aca="false">CHOOSE(단가!$B$4,C5,D5,E5)</f>
        <v>2754</v>
      </c>
    </row>
    <row r="6" customFormat="false" ht="15" hidden="false" customHeight="false" outlineLevel="0" collapsed="false">
      <c r="A6" s="11" t="str">
        <f aca="false">사용가정!A9</f>
        <v>일반형</v>
      </c>
      <c r="B6" s="12" t="n">
        <f aca="false">사용가정!B9</f>
        <v>0.3</v>
      </c>
      <c r="C6" s="14" t="n">
        <f aca="false">사용가정!C9*(단가!$D$8+단가!$D$9)+사용가정!D9*단가!$D$19+사용가정!E9*(단가!$D$10+단가!$D$11)+사용가정!F9*단가!$D$17+사용가정!G9*단가!$D$15+사용가정!H9*단가!$D$13+사용가정!I9*단가!$D$14</f>
        <v>6323</v>
      </c>
      <c r="D6" s="14" t="n">
        <f aca="false">사용가정!C9*(단가!$E$8+단가!$E$9)+사용가정!D9*단가!$E$19+사용가정!E9*(단가!$E$10+단가!$E$11)+사용가정!F9*단가!$E$17+사용가정!G9*단가!$E$15+사용가정!H9*단가!$E$13+사용가정!I9*단가!$E$14</f>
        <v>7876.5</v>
      </c>
      <c r="E6" s="14" t="n">
        <f aca="false">사용가정!C9*(단가!$F$8+단가!$F$9)+사용가정!D9*단가!$F$19+사용가정!E9*(단가!$F$10+단가!$F$11)+사용가정!F9*단가!$F$17+사용가정!G9*단가!$F$15+사용가정!H9*단가!$F$13+사용가정!I9*단가!$F$14</f>
        <v>11422</v>
      </c>
      <c r="F6" s="34" t="n">
        <f aca="false">CHOOSE(단가!$B$4,C6,D6,E6)</f>
        <v>7876.5</v>
      </c>
    </row>
    <row r="7" customFormat="false" ht="15" hidden="false" customHeight="false" outlineLevel="0" collapsed="false">
      <c r="A7" s="11" t="str">
        <f aca="false">사용가정!A10</f>
        <v>헤비형</v>
      </c>
      <c r="B7" s="12" t="n">
        <f aca="false">사용가정!B10</f>
        <v>0.1</v>
      </c>
      <c r="C7" s="14" t="n">
        <f aca="false">사용가정!C10*(단가!$D$8+단가!$D$9)+사용가정!D10*단가!$D$19+사용가정!E10*(단가!$D$10+단가!$D$11)+사용가정!F10*단가!$D$17+사용가정!G10*단가!$D$15+사용가정!H10*단가!$D$13+사용가정!I10*단가!$D$14</f>
        <v>16605</v>
      </c>
      <c r="D7" s="14" t="n">
        <f aca="false">사용가정!C10*(단가!$E$8+단가!$E$9)+사용가정!D10*단가!$E$19+사용가정!E10*(단가!$E$10+단가!$E$11)+사용가정!F10*단가!$E$17+사용가정!G10*단가!$E$15+사용가정!H10*단가!$E$13+사용가정!I10*단가!$E$14</f>
        <v>20664</v>
      </c>
      <c r="E7" s="14" t="n">
        <f aca="false">사용가정!C10*(단가!$F$8+단가!$F$9)+사용가정!D10*단가!$F$19+사용가정!E10*(단가!$F$10+단가!$F$11)+사용가정!F10*단가!$F$17+사용가정!G10*단가!$F$15+사용가정!H10*단가!$F$13+사용가정!I10*단가!$F$14</f>
        <v>30052</v>
      </c>
      <c r="F7" s="34" t="n">
        <f aca="false">CHOOSE(단가!$B$4,C7,D7,E7)</f>
        <v>20664</v>
      </c>
    </row>
    <row r="8" customFormat="false" ht="15" hidden="false" customHeight="false" outlineLevel="0" collapsed="false">
      <c r="A8" s="15" t="s">
        <v>149</v>
      </c>
      <c r="B8" s="42" t="n">
        <f aca="false">SUM(B5:B7)</f>
        <v>1</v>
      </c>
      <c r="C8" s="18" t="n">
        <f aca="false">SUMPRODUCT($B$5:$B$7,C5:C7)</f>
        <v>4889.34</v>
      </c>
      <c r="D8" s="18" t="n">
        <f aca="false">SUMPRODUCT($B$5:$B$7,D5:D7)</f>
        <v>6081.75</v>
      </c>
      <c r="E8" s="18" t="n">
        <f aca="false">SUMPRODUCT($B$5:$B$7,E5:E7)</f>
        <v>8807.2</v>
      </c>
      <c r="F8" s="17" t="n">
        <f aca="false">CHOOSE(단가!$B$4,C8,D8,E8)</f>
        <v>6081.75</v>
      </c>
    </row>
    <row r="10" customFormat="false" ht="17.35" hidden="false" customHeight="false" outlineLevel="0" collapsed="false">
      <c r="A10" s="35" t="s">
        <v>150</v>
      </c>
    </row>
    <row r="11" customFormat="false" ht="30" hidden="false" customHeight="true" outlineLevel="0" collapsed="false">
      <c r="A11" s="6" t="s">
        <v>34</v>
      </c>
      <c r="B11" s="6" t="s">
        <v>35</v>
      </c>
      <c r="C11" s="6" t="s">
        <v>36</v>
      </c>
      <c r="D11" s="6" t="s">
        <v>145</v>
      </c>
      <c r="E11" s="6" t="s">
        <v>146</v>
      </c>
      <c r="F11" s="6" t="s">
        <v>147</v>
      </c>
      <c r="G11" s="6" t="s">
        <v>151</v>
      </c>
      <c r="H11" s="6" t="s">
        <v>152</v>
      </c>
    </row>
    <row r="12" customFormat="false" ht="15" hidden="false" customHeight="false" outlineLevel="0" collapsed="false">
      <c r="A12" s="33" t="s">
        <v>153</v>
      </c>
      <c r="B12" s="43" t="n">
        <v>10</v>
      </c>
      <c r="C12" s="44" t="n">
        <f aca="false">B12*사용가정!$B$4</f>
        <v>6</v>
      </c>
      <c r="D12" s="14" t="n">
        <f aca="false">$C12*C$8</f>
        <v>29336.04</v>
      </c>
      <c r="E12" s="14" t="n">
        <f aca="false">$C12*D$8</f>
        <v>36490.5</v>
      </c>
      <c r="F12" s="14" t="n">
        <f aca="false">$C12*E$8</f>
        <v>52843.2</v>
      </c>
      <c r="G12" s="34" t="n">
        <f aca="false">CHOOSE(단가!$B$4,D12,E12,F12)</f>
        <v>36490.5</v>
      </c>
      <c r="H12" s="14" t="n">
        <f aca="false">IFERROR(G12/C12,0)</f>
        <v>6081.75</v>
      </c>
    </row>
    <row r="13" customFormat="false" ht="15" hidden="false" customHeight="false" outlineLevel="0" collapsed="false">
      <c r="A13" s="33" t="s">
        <v>154</v>
      </c>
      <c r="B13" s="43" t="n">
        <v>50</v>
      </c>
      <c r="C13" s="44" t="n">
        <f aca="false">B13*사용가정!$B$4</f>
        <v>30</v>
      </c>
      <c r="D13" s="14" t="n">
        <f aca="false">$C13*C$8</f>
        <v>146680.2</v>
      </c>
      <c r="E13" s="14" t="n">
        <f aca="false">$C13*D$8</f>
        <v>182452.5</v>
      </c>
      <c r="F13" s="14" t="n">
        <f aca="false">$C13*E$8</f>
        <v>264216</v>
      </c>
      <c r="G13" s="34" t="n">
        <f aca="false">CHOOSE(단가!$B$4,D13,E13,F13)</f>
        <v>182452.5</v>
      </c>
      <c r="H13" s="14" t="n">
        <f aca="false">IFERROR(G13/C13,0)</f>
        <v>6081.75</v>
      </c>
    </row>
    <row r="14" customFormat="false" ht="15" hidden="false" customHeight="false" outlineLevel="0" collapsed="false">
      <c r="A14" s="33" t="s">
        <v>155</v>
      </c>
      <c r="B14" s="43" t="n">
        <v>200</v>
      </c>
      <c r="C14" s="44" t="n">
        <f aca="false">B14*사용가정!$B$4</f>
        <v>120</v>
      </c>
      <c r="D14" s="14" t="n">
        <f aca="false">$C14*C$8</f>
        <v>586720.8</v>
      </c>
      <c r="E14" s="14" t="n">
        <f aca="false">$C14*D$8</f>
        <v>729810</v>
      </c>
      <c r="F14" s="14" t="n">
        <f aca="false">$C14*E$8</f>
        <v>1056864</v>
      </c>
      <c r="G14" s="34" t="n">
        <f aca="false">CHOOSE(단가!$B$4,D14,E14,F14)</f>
        <v>729810</v>
      </c>
      <c r="H14" s="14" t="n">
        <f aca="false">IFERROR(G14/C14,0)</f>
        <v>6081.75</v>
      </c>
    </row>
    <row r="15" customFormat="false" ht="15" hidden="false" customHeight="false" outlineLevel="0" collapsed="false">
      <c r="A15" s="33" t="s">
        <v>156</v>
      </c>
      <c r="B15" s="43" t="n">
        <v>500</v>
      </c>
      <c r="C15" s="44" t="n">
        <f aca="false">B15*사용가정!$B$4</f>
        <v>300</v>
      </c>
      <c r="D15" s="14" t="n">
        <f aca="false">$C15*C$8</f>
        <v>1466802</v>
      </c>
      <c r="E15" s="14" t="n">
        <f aca="false">$C15*D$8</f>
        <v>1824525</v>
      </c>
      <c r="F15" s="14" t="n">
        <f aca="false">$C15*E$8</f>
        <v>2642160</v>
      </c>
      <c r="G15" s="34" t="n">
        <f aca="false">CHOOSE(단가!$B$4,D15,E15,F15)</f>
        <v>1824525</v>
      </c>
      <c r="H15" s="14" t="n">
        <f aca="false">IFERROR(G15/C15,0)</f>
        <v>6081.75</v>
      </c>
    </row>
    <row r="16" customFormat="false" ht="15" hidden="false" customHeight="false" outlineLevel="0" collapsed="false">
      <c r="A16" s="33" t="s">
        <v>157</v>
      </c>
      <c r="B16" s="43" t="n">
        <v>1000</v>
      </c>
      <c r="C16" s="44" t="n">
        <f aca="false">B16*사용가정!$B$4</f>
        <v>600</v>
      </c>
      <c r="D16" s="14" t="n">
        <f aca="false">$C16*C$8</f>
        <v>2933604</v>
      </c>
      <c r="E16" s="14" t="n">
        <f aca="false">$C16*D$8</f>
        <v>3649050</v>
      </c>
      <c r="F16" s="14" t="n">
        <f aca="false">$C16*E$8</f>
        <v>5284320</v>
      </c>
      <c r="G16" s="34" t="n">
        <f aca="false">CHOOSE(단가!$B$4,D16,E16,F16)</f>
        <v>3649050</v>
      </c>
      <c r="H16" s="14" t="n">
        <f aca="false">IFERROR(G16/C16,0)</f>
        <v>6081.75</v>
      </c>
    </row>
    <row r="18" customFormat="false" ht="15" hidden="false" customHeight="false" outlineLevel="0" collapsed="false">
      <c r="A18" s="41" t="s">
        <v>158</v>
      </c>
    </row>
    <row r="19" customFormat="false" ht="15" hidden="false" customHeight="false" outlineLevel="0" collapsed="false">
      <c r="A19" s="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7" min="5" style="0" width="13"/>
    <col collapsed="false" customWidth="true" hidden="false" outlineLevel="0" max="8" min="8" style="0" width="50"/>
  </cols>
  <sheetData>
    <row r="1" customFormat="false" ht="21.6" hidden="false" customHeight="false" outlineLevel="0" collapsed="false">
      <c r="A1" s="35" t="s">
        <v>160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45" t="s">
        <v>162</v>
      </c>
      <c r="B4" s="46" t="n">
        <v>200</v>
      </c>
      <c r="C4" s="2" t="s">
        <v>163</v>
      </c>
    </row>
    <row r="5" customFormat="false" ht="15" hidden="false" customHeight="false" outlineLevel="0" collapsed="false">
      <c r="A5" s="3" t="s">
        <v>164</v>
      </c>
      <c r="B5" s="4" t="str">
        <f aca="false">단가!C4</f>
        <v>여유(재시도 반영)</v>
      </c>
    </row>
    <row r="7" customFormat="false" ht="19.4" hidden="false" customHeight="false" outlineLevel="0" collapsed="false">
      <c r="A7" s="5" t="s">
        <v>165</v>
      </c>
    </row>
    <row r="8" customFormat="false" ht="30" hidden="false" customHeight="true" outlineLevel="0" collapsed="false">
      <c r="A8" s="6" t="s">
        <v>166</v>
      </c>
      <c r="B8" s="6" t="s">
        <v>167</v>
      </c>
      <c r="C8" s="6" t="s">
        <v>168</v>
      </c>
      <c r="D8" s="6" t="s">
        <v>169</v>
      </c>
      <c r="E8" s="6" t="s">
        <v>170</v>
      </c>
      <c r="F8" s="6"/>
      <c r="G8" s="6"/>
      <c r="H8" s="6" t="s">
        <v>171</v>
      </c>
    </row>
    <row r="9" customFormat="false" ht="25.5" hidden="false" customHeight="true" outlineLevel="0" collapsed="false">
      <c r="A9" s="7" t="s">
        <v>172</v>
      </c>
      <c r="B9" s="9" t="n">
        <f aca="false">단가!G22</f>
        <v>1530</v>
      </c>
      <c r="C9" s="47" t="n">
        <v>8</v>
      </c>
      <c r="D9" s="14" t="n">
        <f aca="false">C9*$B$4</f>
        <v>1600</v>
      </c>
      <c r="E9" s="48" t="n">
        <f aca="false">IFERROR(D9/B9,0)</f>
        <v>1.04575163398693</v>
      </c>
      <c r="F9" s="23"/>
      <c r="G9" s="23"/>
      <c r="H9" s="32" t="s">
        <v>173</v>
      </c>
    </row>
    <row r="10" customFormat="false" ht="25.5" hidden="false" customHeight="true" outlineLevel="0" collapsed="false">
      <c r="A10" s="7" t="s">
        <v>174</v>
      </c>
      <c r="B10" s="9" t="n">
        <f aca="false">단가!G21</f>
        <v>570</v>
      </c>
      <c r="C10" s="47" t="n">
        <v>3</v>
      </c>
      <c r="D10" s="14" t="n">
        <f aca="false">C10*$B$4</f>
        <v>600</v>
      </c>
      <c r="E10" s="48" t="n">
        <f aca="false">IFERROR(D10/B10,0)</f>
        <v>1.05263157894737</v>
      </c>
      <c r="F10" s="23"/>
      <c r="G10" s="23"/>
      <c r="H10" s="32" t="s">
        <v>175</v>
      </c>
    </row>
    <row r="11" customFormat="false" ht="25.5" hidden="false" customHeight="true" outlineLevel="0" collapsed="false">
      <c r="A11" s="7" t="s">
        <v>176</v>
      </c>
      <c r="B11" s="9" t="n">
        <f aca="false">단가!G13</f>
        <v>195</v>
      </c>
      <c r="C11" s="47" t="n">
        <v>1</v>
      </c>
      <c r="D11" s="14" t="n">
        <f aca="false">C11*$B$4</f>
        <v>200</v>
      </c>
      <c r="E11" s="48" t="n">
        <f aca="false">IFERROR(D11/B11,0)</f>
        <v>1.02564102564103</v>
      </c>
      <c r="F11" s="23"/>
      <c r="G11" s="23"/>
      <c r="H11" s="32" t="s">
        <v>177</v>
      </c>
    </row>
    <row r="12" customFormat="false" ht="25.5" hidden="false" customHeight="true" outlineLevel="0" collapsed="false">
      <c r="A12" s="7" t="s">
        <v>178</v>
      </c>
      <c r="B12" s="9" t="n">
        <f aca="false">단가!G14</f>
        <v>225</v>
      </c>
      <c r="C12" s="47" t="n">
        <v>2</v>
      </c>
      <c r="D12" s="14" t="n">
        <f aca="false">C12*$B$4</f>
        <v>400</v>
      </c>
      <c r="E12" s="48" t="n">
        <f aca="false">IFERROR(D12/B12,0)</f>
        <v>1.77777777777778</v>
      </c>
      <c r="F12" s="23"/>
      <c r="G12" s="23"/>
      <c r="H12" s="32" t="s">
        <v>179</v>
      </c>
    </row>
    <row r="13" customFormat="false" ht="25.5" hidden="false" customHeight="true" outlineLevel="0" collapsed="false">
      <c r="A13" s="7" t="s">
        <v>24</v>
      </c>
      <c r="B13" s="9" t="n">
        <f aca="false">단가!G19</f>
        <v>220</v>
      </c>
      <c r="C13" s="47" t="n">
        <v>1</v>
      </c>
      <c r="D13" s="14" t="n">
        <f aca="false">C13*$B$4</f>
        <v>200</v>
      </c>
      <c r="E13" s="48" t="n">
        <f aca="false">IFERROR(D13/B13,0)</f>
        <v>0.909090909090909</v>
      </c>
      <c r="F13" s="23"/>
      <c r="G13" s="23"/>
      <c r="H13" s="32" t="s">
        <v>180</v>
      </c>
    </row>
    <row r="14" customFormat="false" ht="25.5" hidden="false" customHeight="true" outlineLevel="0" collapsed="false">
      <c r="A14" s="7" t="s">
        <v>181</v>
      </c>
      <c r="B14" s="9" t="n">
        <f aca="false">단가!G16</f>
        <v>430</v>
      </c>
      <c r="C14" s="47" t="n">
        <v>2</v>
      </c>
      <c r="D14" s="14" t="n">
        <f aca="false">C14*$B$4</f>
        <v>400</v>
      </c>
      <c r="E14" s="48" t="n">
        <f aca="false">IFERROR(D14/B14,0)</f>
        <v>0.930232558139535</v>
      </c>
      <c r="F14" s="23"/>
      <c r="G14" s="23"/>
      <c r="H14" s="32" t="s">
        <v>182</v>
      </c>
    </row>
    <row r="15" customFormat="false" ht="25.5" hidden="false" customHeight="true" outlineLevel="0" collapsed="false">
      <c r="A15" s="7" t="s">
        <v>183</v>
      </c>
      <c r="B15" s="9" t="n">
        <f aca="false">단가!G17</f>
        <v>40</v>
      </c>
      <c r="C15" s="47" t="n">
        <v>0</v>
      </c>
      <c r="D15" s="14" t="n">
        <f aca="false">C15*$B$4</f>
        <v>0</v>
      </c>
      <c r="E15" s="48" t="n">
        <f aca="false">IFERROR(D15/B15,0)</f>
        <v>0</v>
      </c>
      <c r="F15" s="23"/>
      <c r="G15" s="23"/>
      <c r="H15" s="32" t="s">
        <v>184</v>
      </c>
    </row>
    <row r="16" customFormat="false" ht="25.5" hidden="false" customHeight="true" outlineLevel="0" collapsed="false">
      <c r="A16" s="7" t="s">
        <v>185</v>
      </c>
      <c r="B16" s="9" t="n">
        <f aca="false">단가!G24</f>
        <v>1530</v>
      </c>
      <c r="C16" s="47" t="n">
        <v>10</v>
      </c>
      <c r="D16" s="14" t="n">
        <f aca="false">C16*$B$4</f>
        <v>2000</v>
      </c>
      <c r="E16" s="48" t="n">
        <f aca="false">IFERROR(D16/B16,0)</f>
        <v>1.30718954248366</v>
      </c>
      <c r="F16" s="23"/>
      <c r="G16" s="23"/>
      <c r="H16" s="32" t="s">
        <v>186</v>
      </c>
    </row>
    <row r="17" customFormat="false" ht="15" hidden="false" customHeight="false" outlineLevel="0" collapsed="false">
      <c r="A17" s="2" t="s">
        <v>187</v>
      </c>
    </row>
    <row r="19" customFormat="false" ht="19.4" hidden="false" customHeight="false" outlineLevel="0" collapsed="false">
      <c r="A19" s="5" t="s">
        <v>188</v>
      </c>
    </row>
    <row r="20" customFormat="false" ht="30" hidden="false" customHeight="true" outlineLevel="0" collapsed="false">
      <c r="A20" s="6" t="s">
        <v>189</v>
      </c>
      <c r="B20" s="6" t="s">
        <v>190</v>
      </c>
      <c r="C20" s="6" t="s">
        <v>191</v>
      </c>
      <c r="D20" s="49" t="s">
        <v>192</v>
      </c>
      <c r="E20" s="6" t="s">
        <v>193</v>
      </c>
    </row>
    <row r="21" customFormat="false" ht="15" hidden="false" customHeight="false" outlineLevel="0" collapsed="false">
      <c r="A21" s="33" t="s">
        <v>194</v>
      </c>
      <c r="B21" s="21" t="s">
        <v>195</v>
      </c>
      <c r="C21" s="50" t="n">
        <v>0.6</v>
      </c>
      <c r="D21" s="51" t="n">
        <f aca="false">ROUND($C$9*C21,0)</f>
        <v>5</v>
      </c>
      <c r="E21" s="10" t="s">
        <v>196</v>
      </c>
    </row>
    <row r="22" customFormat="false" ht="15" hidden="false" customHeight="false" outlineLevel="0" collapsed="false">
      <c r="A22" s="33" t="s">
        <v>197</v>
      </c>
      <c r="B22" s="21" t="s">
        <v>84</v>
      </c>
      <c r="C22" s="50" t="n">
        <v>1</v>
      </c>
      <c r="D22" s="51" t="n">
        <f aca="false">ROUND($C$9*C22,0)</f>
        <v>8</v>
      </c>
      <c r="E22" s="10" t="s">
        <v>198</v>
      </c>
    </row>
    <row r="23" customFormat="false" ht="15" hidden="false" customHeight="false" outlineLevel="0" collapsed="false">
      <c r="A23" s="2" t="s">
        <v>199</v>
      </c>
    </row>
    <row r="25" customFormat="false" ht="19.4" hidden="false" customHeight="false" outlineLevel="0" collapsed="false">
      <c r="A25" s="5" t="s">
        <v>200</v>
      </c>
    </row>
    <row r="26" customFormat="false" ht="30" hidden="false" customHeight="true" outlineLevel="0" collapsed="false">
      <c r="A26" s="6" t="s">
        <v>5</v>
      </c>
      <c r="B26" s="6" t="s">
        <v>168</v>
      </c>
      <c r="C26" s="6" t="s">
        <v>201</v>
      </c>
      <c r="D26" s="6"/>
      <c r="E26" s="6"/>
      <c r="F26" s="6"/>
      <c r="G26" s="6"/>
      <c r="H26" s="6" t="s">
        <v>202</v>
      </c>
    </row>
    <row r="27" customFormat="false" ht="25.5" hidden="false" customHeight="true" outlineLevel="0" collapsed="false">
      <c r="A27" s="7" t="s">
        <v>203</v>
      </c>
      <c r="B27" s="47" t="n">
        <v>12</v>
      </c>
      <c r="C27" s="14" t="n">
        <f aca="false">B27*$B$4</f>
        <v>2400</v>
      </c>
      <c r="D27" s="23"/>
      <c r="E27" s="23"/>
      <c r="F27" s="23"/>
      <c r="G27" s="23"/>
      <c r="H27" s="32" t="s">
        <v>204</v>
      </c>
    </row>
    <row r="28" customFormat="false" ht="25.5" hidden="false" customHeight="true" outlineLevel="0" collapsed="false">
      <c r="A28" s="7" t="s">
        <v>205</v>
      </c>
      <c r="B28" s="47" t="n">
        <v>3</v>
      </c>
      <c r="C28" s="14" t="n">
        <f aca="false">B28*$B$4</f>
        <v>600</v>
      </c>
      <c r="D28" s="23"/>
      <c r="E28" s="23"/>
      <c r="F28" s="23"/>
      <c r="G28" s="23"/>
      <c r="H28" s="32" t="s">
        <v>206</v>
      </c>
    </row>
    <row r="29" customFormat="false" ht="15" hidden="false" customHeight="false" outlineLevel="0" collapsed="false">
      <c r="A29" s="2" t="s">
        <v>207</v>
      </c>
    </row>
    <row r="31" customFormat="false" ht="19.4" hidden="false" customHeight="false" outlineLevel="0" collapsed="false">
      <c r="A31" s="5" t="s">
        <v>208</v>
      </c>
    </row>
    <row r="32" customFormat="false" ht="15" hidden="false" customHeight="false" outlineLevel="0" collapsed="false">
      <c r="A32" s="2" t="s">
        <v>209</v>
      </c>
    </row>
    <row r="33" customFormat="false" ht="30" hidden="false" customHeight="true" outlineLevel="0" collapsed="false">
      <c r="A33" s="6" t="s">
        <v>210</v>
      </c>
      <c r="B33" s="6" t="s">
        <v>211</v>
      </c>
      <c r="C33" s="6" t="s">
        <v>212</v>
      </c>
      <c r="D33" s="6" t="s">
        <v>213</v>
      </c>
      <c r="E33" s="6"/>
      <c r="F33" s="6"/>
      <c r="G33" s="6"/>
      <c r="H33" s="6" t="s">
        <v>214</v>
      </c>
    </row>
    <row r="34" customFormat="false" ht="31.5" hidden="false" customHeight="true" outlineLevel="0" collapsed="false">
      <c r="A34" s="7" t="s">
        <v>215</v>
      </c>
      <c r="B34" s="52" t="s">
        <v>211</v>
      </c>
      <c r="C34" s="51" t="s">
        <v>216</v>
      </c>
      <c r="D34" s="53" t="s">
        <v>217</v>
      </c>
      <c r="E34" s="23"/>
      <c r="F34" s="23"/>
      <c r="G34" s="23"/>
      <c r="H34" s="32" t="s">
        <v>218</v>
      </c>
    </row>
    <row r="35" customFormat="false" ht="31.5" hidden="false" customHeight="true" outlineLevel="0" collapsed="false">
      <c r="A35" s="7" t="s">
        <v>219</v>
      </c>
      <c r="B35" s="52" t="s">
        <v>211</v>
      </c>
      <c r="C35" s="51" t="s">
        <v>216</v>
      </c>
      <c r="D35" s="53" t="s">
        <v>217</v>
      </c>
      <c r="E35" s="23"/>
      <c r="F35" s="23"/>
      <c r="G35" s="23"/>
      <c r="H35" s="32" t="s">
        <v>220</v>
      </c>
    </row>
    <row r="36" customFormat="false" ht="31.5" hidden="false" customHeight="true" outlineLevel="0" collapsed="false">
      <c r="A36" s="7" t="s">
        <v>221</v>
      </c>
      <c r="B36" s="52" t="s">
        <v>211</v>
      </c>
      <c r="C36" s="53" t="s">
        <v>222</v>
      </c>
      <c r="D36" s="53" t="s">
        <v>217</v>
      </c>
      <c r="E36" s="23"/>
      <c r="F36" s="23"/>
      <c r="G36" s="23"/>
      <c r="H36" s="32" t="s">
        <v>223</v>
      </c>
    </row>
    <row r="37" customFormat="false" ht="31.5" hidden="false" customHeight="true" outlineLevel="0" collapsed="false">
      <c r="A37" s="7" t="s">
        <v>224</v>
      </c>
      <c r="B37" s="54" t="s">
        <v>225</v>
      </c>
      <c r="C37" s="51" t="s">
        <v>216</v>
      </c>
      <c r="D37" s="53" t="s">
        <v>217</v>
      </c>
      <c r="E37" s="23"/>
      <c r="F37" s="23"/>
      <c r="G37" s="23"/>
      <c r="H37" s="32" t="s">
        <v>226</v>
      </c>
    </row>
    <row r="38" customFormat="false" ht="31.5" hidden="false" customHeight="true" outlineLevel="0" collapsed="false">
      <c r="A38" s="7" t="s">
        <v>227</v>
      </c>
      <c r="B38" s="55" t="s">
        <v>228</v>
      </c>
      <c r="C38" s="51" t="s">
        <v>216</v>
      </c>
      <c r="D38" s="53" t="s">
        <v>229</v>
      </c>
      <c r="E38" s="23"/>
      <c r="F38" s="23"/>
      <c r="G38" s="23"/>
      <c r="H38" s="32" t="s">
        <v>230</v>
      </c>
    </row>
    <row r="39" customFormat="false" ht="31.5" hidden="false" customHeight="true" outlineLevel="0" collapsed="false">
      <c r="A39" s="7" t="s">
        <v>231</v>
      </c>
      <c r="B39" s="55" t="s">
        <v>228</v>
      </c>
      <c r="C39" s="53" t="s">
        <v>232</v>
      </c>
      <c r="D39" s="51" t="s">
        <v>105</v>
      </c>
      <c r="E39" s="23"/>
      <c r="F39" s="23"/>
      <c r="G39" s="23"/>
      <c r="H39" s="32" t="s">
        <v>233</v>
      </c>
    </row>
    <row r="40" customFormat="false" ht="15" hidden="false" customHeight="false" outlineLevel="0" collapsed="false">
      <c r="A40" s="2" t="s">
        <v>234</v>
      </c>
    </row>
    <row r="41" customFormat="false" ht="15" hidden="false" customHeight="false" outlineLevel="0" collapsed="false">
      <c r="A41" s="2" t="s">
        <v>235</v>
      </c>
    </row>
    <row r="42" customFormat="false" ht="19.4" hidden="false" customHeight="false" outlineLevel="0" collapsed="false">
      <c r="A42" s="5" t="s">
        <v>236</v>
      </c>
    </row>
    <row r="43" customFormat="false" ht="30" hidden="false" customHeight="true" outlineLevel="0" collapsed="false">
      <c r="A43" s="6" t="s">
        <v>237</v>
      </c>
      <c r="B43" s="6" t="s">
        <v>238</v>
      </c>
      <c r="C43" s="6" t="s">
        <v>239</v>
      </c>
      <c r="D43" s="6" t="s">
        <v>240</v>
      </c>
      <c r="E43" s="6" t="s">
        <v>241</v>
      </c>
      <c r="F43" s="6" t="s">
        <v>201</v>
      </c>
      <c r="G43" s="6" t="s">
        <v>242</v>
      </c>
      <c r="H43" s="49" t="s">
        <v>243</v>
      </c>
    </row>
    <row r="44" customFormat="false" ht="15" hidden="false" customHeight="false" outlineLevel="0" collapsed="false">
      <c r="A44" s="56" t="s">
        <v>244</v>
      </c>
      <c r="B44" s="30" t="n">
        <v>9900</v>
      </c>
      <c r="C44" s="47" t="n">
        <v>25</v>
      </c>
      <c r="D44" s="57" t="n">
        <v>0.8</v>
      </c>
      <c r="E44" s="44" t="n">
        <f aca="false">C44*D44</f>
        <v>20</v>
      </c>
      <c r="F44" s="14" t="n">
        <f aca="false">E44*$B$4</f>
        <v>4000</v>
      </c>
      <c r="G44" s="58" t="n">
        <f aca="false">IFERROR(F44/B44,0)</f>
        <v>0.404040404040404</v>
      </c>
      <c r="H44" s="31" t="n">
        <f aca="false">B44-F44</f>
        <v>5900</v>
      </c>
    </row>
    <row r="45" customFormat="false" ht="15" hidden="false" customHeight="false" outlineLevel="0" collapsed="false">
      <c r="A45" s="56" t="s">
        <v>245</v>
      </c>
      <c r="B45" s="30" t="n">
        <v>19900</v>
      </c>
      <c r="C45" s="47" t="n">
        <v>55</v>
      </c>
      <c r="D45" s="57" t="n">
        <v>0.85</v>
      </c>
      <c r="E45" s="44" t="n">
        <f aca="false">C45*D45</f>
        <v>46.75</v>
      </c>
      <c r="F45" s="14" t="n">
        <f aca="false">E45*$B$4</f>
        <v>9350</v>
      </c>
      <c r="G45" s="58" t="n">
        <f aca="false">IFERROR(F45/B45,0)</f>
        <v>0.469849246231156</v>
      </c>
      <c r="H45" s="31" t="n">
        <f aca="false">B45-F45</f>
        <v>10550</v>
      </c>
    </row>
    <row r="46" customFormat="false" ht="15" hidden="false" customHeight="false" outlineLevel="0" collapsed="false">
      <c r="A46" s="33" t="s">
        <v>246</v>
      </c>
      <c r="B46" s="30" t="n">
        <v>5500</v>
      </c>
      <c r="C46" s="47" t="n">
        <v>10</v>
      </c>
      <c r="D46" s="57" t="n">
        <v>1</v>
      </c>
      <c r="E46" s="44" t="n">
        <f aca="false">C46*D46</f>
        <v>10</v>
      </c>
      <c r="F46" s="14" t="n">
        <f aca="false">E46*$B$4</f>
        <v>2000</v>
      </c>
      <c r="G46" s="58" t="n">
        <f aca="false">IFERROR(F46/B46,0)</f>
        <v>0.363636363636364</v>
      </c>
      <c r="H46" s="31" t="n">
        <f aca="false">B46-F46</f>
        <v>3500</v>
      </c>
    </row>
    <row r="47" customFormat="false" ht="15" hidden="false" customHeight="false" outlineLevel="0" collapsed="false">
      <c r="A47" s="33" t="s">
        <v>247</v>
      </c>
      <c r="B47" s="30" t="n">
        <v>14900</v>
      </c>
      <c r="C47" s="47" t="n">
        <v>30</v>
      </c>
      <c r="D47" s="57" t="n">
        <v>1</v>
      </c>
      <c r="E47" s="44" t="n">
        <f aca="false">C47*D47</f>
        <v>30</v>
      </c>
      <c r="F47" s="14" t="n">
        <f aca="false">E47*$B$4</f>
        <v>6000</v>
      </c>
      <c r="G47" s="58" t="n">
        <f aca="false">IFERROR(F47/B47,0)</f>
        <v>0.402684563758389</v>
      </c>
      <c r="H47" s="31" t="n">
        <f aca="false">B47-F47</f>
        <v>8900</v>
      </c>
    </row>
    <row r="48" customFormat="false" ht="15" hidden="false" customHeight="false" outlineLevel="0" collapsed="false">
      <c r="A48" s="33" t="s">
        <v>248</v>
      </c>
      <c r="B48" s="30" t="n">
        <v>45000</v>
      </c>
      <c r="C48" s="47" t="n">
        <v>100</v>
      </c>
      <c r="D48" s="57" t="n">
        <v>1</v>
      </c>
      <c r="E48" s="44" t="n">
        <f aca="false">C48*D48</f>
        <v>100</v>
      </c>
      <c r="F48" s="14" t="n">
        <f aca="false">E48*$B$4</f>
        <v>20000</v>
      </c>
      <c r="G48" s="58" t="n">
        <f aca="false">IFERROR(F48/B48,0)</f>
        <v>0.444444444444444</v>
      </c>
      <c r="H48" s="31" t="n">
        <f aca="false">B48-F48</f>
        <v>25000</v>
      </c>
    </row>
    <row r="49" customFormat="false" ht="15" hidden="false" customHeight="false" outlineLevel="0" collapsed="false">
      <c r="A49" s="2" t="s">
        <v>249</v>
      </c>
    </row>
    <row r="50" customFormat="false" ht="15" hidden="false" customHeight="false" outlineLevel="0" collapsed="false">
      <c r="A50" s="2" t="s">
        <v>250</v>
      </c>
    </row>
    <row r="52" customFormat="false" ht="19.4" hidden="false" customHeight="false" outlineLevel="0" collapsed="false">
      <c r="A52" s="5" t="s">
        <v>251</v>
      </c>
    </row>
    <row r="53" customFormat="false" ht="15" hidden="false" customHeight="false" outlineLevel="0" collapsed="false">
      <c r="A53" s="3" t="s">
        <v>252</v>
      </c>
      <c r="B53" s="36" t="n">
        <v>0.45</v>
      </c>
      <c r="C53" s="2" t="s">
        <v>253</v>
      </c>
    </row>
    <row r="54" customFormat="false" ht="30" hidden="false" customHeight="true" outlineLevel="0" collapsed="false">
      <c r="A54" s="6" t="s">
        <v>238</v>
      </c>
      <c r="B54" s="6" t="s">
        <v>254</v>
      </c>
      <c r="C54" s="6" t="s">
        <v>255</v>
      </c>
      <c r="D54" s="6" t="s">
        <v>256</v>
      </c>
      <c r="E54" s="6" t="s">
        <v>257</v>
      </c>
    </row>
    <row r="55" customFormat="false" ht="15" hidden="false" customHeight="false" outlineLevel="0" collapsed="false">
      <c r="A55" s="30" t="n">
        <v>5900</v>
      </c>
      <c r="B55" s="57" t="n">
        <v>0.8</v>
      </c>
      <c r="C55" s="59" t="n">
        <f aca="false">ROUND(A55*$B$53/($B$4*B55),0)</f>
        <v>17</v>
      </c>
      <c r="D55" s="44" t="n">
        <f aca="false">ROUND(C55/$C$9,1)</f>
        <v>2.1</v>
      </c>
      <c r="E55" s="7" t="str">
        <f aca="false">IF(D55&lt;2,"체감상 너무 적음",IF(D55&lt;4,"최소 수준",IF(D55&lt;8,"납득 가능","여유 있음")))</f>
        <v>최소 수준</v>
      </c>
    </row>
    <row r="56" customFormat="false" ht="15" hidden="false" customHeight="false" outlineLevel="0" collapsed="false">
      <c r="A56" s="30" t="n">
        <v>9900</v>
      </c>
      <c r="B56" s="57" t="n">
        <v>0.8</v>
      </c>
      <c r="C56" s="59" t="n">
        <f aca="false">ROUND(A56*$B$53/($B$4*B56),0)</f>
        <v>28</v>
      </c>
      <c r="D56" s="44" t="n">
        <f aca="false">ROUND(C56/$C$9,1)</f>
        <v>3.5</v>
      </c>
      <c r="E56" s="7" t="str">
        <f aca="false">IF(D56&lt;2,"체감상 너무 적음",IF(D56&lt;4,"최소 수준",IF(D56&lt;8,"납득 가능","여유 있음")))</f>
        <v>최소 수준</v>
      </c>
    </row>
    <row r="57" customFormat="false" ht="15" hidden="false" customHeight="false" outlineLevel="0" collapsed="false">
      <c r="A57" s="30" t="n">
        <v>14900</v>
      </c>
      <c r="B57" s="57" t="n">
        <v>0.8</v>
      </c>
      <c r="C57" s="59" t="n">
        <f aca="false">ROUND(A57*$B$53/($B$4*B57),0)</f>
        <v>42</v>
      </c>
      <c r="D57" s="44" t="n">
        <f aca="false">ROUND(C57/$C$9,1)</f>
        <v>5.3</v>
      </c>
      <c r="E57" s="7" t="str">
        <f aca="false">IF(D57&lt;2,"체감상 너무 적음",IF(D57&lt;4,"최소 수준",IF(D57&lt;8,"납득 가능","여유 있음")))</f>
        <v>납득 가능</v>
      </c>
    </row>
    <row r="58" customFormat="false" ht="15" hidden="false" customHeight="false" outlineLevel="0" collapsed="false">
      <c r="A58" s="30" t="n">
        <v>19900</v>
      </c>
      <c r="B58" s="57" t="n">
        <v>0.8</v>
      </c>
      <c r="C58" s="59" t="n">
        <f aca="false">ROUND(A58*$B$53/($B$4*B58),0)</f>
        <v>56</v>
      </c>
      <c r="D58" s="44" t="n">
        <f aca="false">ROUND(C58/$C$9,1)</f>
        <v>7</v>
      </c>
      <c r="E58" s="7" t="str">
        <f aca="false">IF(D58&lt;2,"체감상 너무 적음",IF(D58&lt;4,"최소 수준",IF(D58&lt;8,"납득 가능","여유 있음")))</f>
        <v>납득 가능</v>
      </c>
    </row>
    <row r="59" customFormat="false" ht="15" hidden="false" customHeight="false" outlineLevel="0" collapsed="false">
      <c r="A59" s="30" t="n">
        <v>29900</v>
      </c>
      <c r="B59" s="57" t="n">
        <v>0.8</v>
      </c>
      <c r="C59" s="59" t="n">
        <f aca="false">ROUND(A59*$B$53/($B$4*B59),0)</f>
        <v>84</v>
      </c>
      <c r="D59" s="44" t="n">
        <f aca="false">ROUND(C59/$C$9,1)</f>
        <v>10.5</v>
      </c>
      <c r="E59" s="7" t="str">
        <f aca="false">IF(D59&lt;2,"체감상 너무 적음",IF(D59&lt;4,"최소 수준",IF(D59&lt;8,"납득 가능","여유 있음")))</f>
        <v>여유 있음</v>
      </c>
    </row>
    <row r="61" customFormat="false" ht="15" hidden="false" customHeight="false" outlineLevel="0" collapsed="false">
      <c r="A61" s="3" t="s">
        <v>258</v>
      </c>
    </row>
    <row r="62" customFormat="false" ht="15" hidden="false" customHeight="false" outlineLevel="0" collapsed="false">
      <c r="A62" s="2" t="s">
        <v>259</v>
      </c>
    </row>
    <row r="63" customFormat="false" ht="15" hidden="false" customHeight="false" outlineLevel="0" collapsed="false">
      <c r="A63" s="2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8" min="7" style="0" width="14"/>
  </cols>
  <sheetData>
    <row r="1" customFormat="false" ht="21.6" hidden="false" customHeight="false" outlineLevel="0" collapsed="false">
      <c r="A1" s="35" t="s">
        <v>261</v>
      </c>
    </row>
    <row r="2" customFormat="false" ht="15" hidden="false" customHeight="false" outlineLevel="0" collapsed="false">
      <c r="A2" s="2" t="s">
        <v>262</v>
      </c>
    </row>
    <row r="4" customFormat="false" ht="15" hidden="false" customHeight="false" outlineLevel="0" collapsed="false">
      <c r="A4" s="3" t="s">
        <v>263</v>
      </c>
      <c r="B4" s="27" t="n">
        <v>4</v>
      </c>
      <c r="C4" s="2" t="s">
        <v>264</v>
      </c>
    </row>
    <row r="6" customFormat="false" ht="19.4" hidden="false" customHeight="false" outlineLevel="0" collapsed="false">
      <c r="A6" s="5" t="s">
        <v>265</v>
      </c>
    </row>
    <row r="7" customFormat="false" ht="30" hidden="false" customHeight="true" outlineLevel="0" collapsed="false">
      <c r="A7" s="6" t="s">
        <v>266</v>
      </c>
      <c r="B7" s="6" t="s">
        <v>28</v>
      </c>
      <c r="C7" s="6" t="s">
        <v>267</v>
      </c>
      <c r="D7" s="6" t="s">
        <v>268</v>
      </c>
      <c r="E7" s="6" t="s">
        <v>269</v>
      </c>
      <c r="F7" s="6" t="s">
        <v>270</v>
      </c>
    </row>
    <row r="8" customFormat="false" ht="15" hidden="false" customHeight="false" outlineLevel="0" collapsed="false">
      <c r="A8" s="33" t="s">
        <v>271</v>
      </c>
      <c r="B8" s="38" t="n">
        <v>0.85</v>
      </c>
      <c r="C8" s="14" t="n">
        <f aca="false">0</f>
        <v>0</v>
      </c>
      <c r="D8" s="9" t="n">
        <f aca="false">$B$4*크레딧설계!$B$4</f>
        <v>800</v>
      </c>
      <c r="E8" s="31" t="n">
        <f aca="false">C8-D8</f>
        <v>-800</v>
      </c>
      <c r="F8" s="48" t="n">
        <f aca="false">IFERROR(E8/C8,0)</f>
        <v>0</v>
      </c>
    </row>
    <row r="9" customFormat="false" ht="15" hidden="false" customHeight="false" outlineLevel="0" collapsed="false">
      <c r="A9" s="56" t="s">
        <v>244</v>
      </c>
      <c r="B9" s="38" t="n">
        <v>0.12</v>
      </c>
      <c r="C9" s="9" t="n">
        <f aca="false">크레딧설계!$B$44</f>
        <v>9900</v>
      </c>
      <c r="D9" s="9" t="n">
        <f aca="false">크레딧설계!$F$44</f>
        <v>4000</v>
      </c>
      <c r="E9" s="31" t="n">
        <f aca="false">C9-D9</f>
        <v>5900</v>
      </c>
      <c r="F9" s="48" t="n">
        <f aca="false">IFERROR(E9/C9,0)</f>
        <v>0.595959595959596</v>
      </c>
    </row>
    <row r="10" customFormat="false" ht="15" hidden="false" customHeight="false" outlineLevel="0" collapsed="false">
      <c r="A10" s="56" t="s">
        <v>245</v>
      </c>
      <c r="B10" s="38" t="n">
        <v>0.03</v>
      </c>
      <c r="C10" s="9" t="n">
        <f aca="false">크레딧설계!$B$45</f>
        <v>19900</v>
      </c>
      <c r="D10" s="9" t="n">
        <f aca="false">크레딧설계!$F$45</f>
        <v>9350</v>
      </c>
      <c r="E10" s="31" t="n">
        <f aca="false">C10-D10</f>
        <v>10550</v>
      </c>
      <c r="F10" s="48" t="n">
        <f aca="false">IFERROR(E10/C10,0)</f>
        <v>0.530150753768844</v>
      </c>
    </row>
    <row r="11" customFormat="false" ht="15" hidden="false" customHeight="false" outlineLevel="0" collapsed="false">
      <c r="A11" s="15" t="s">
        <v>272</v>
      </c>
      <c r="B11" s="60" t="n">
        <f aca="false">SUM(B8:B10)</f>
        <v>1</v>
      </c>
      <c r="C11" s="18" t="n">
        <f aca="false">SUMPRODUCT($B$8:$B$10,C8:C10)</f>
        <v>1785</v>
      </c>
      <c r="D11" s="18" t="n">
        <f aca="false">SUMPRODUCT($B$8:$B$10,D8:D10)</f>
        <v>1440.5</v>
      </c>
      <c r="E11" s="18" t="n">
        <f aca="false">SUMPRODUCT($B$8:$B$10,E8:E10)</f>
        <v>344.5</v>
      </c>
      <c r="F11" s="61" t="n">
        <f aca="false">IFERROR(E11/C11,0)</f>
        <v>0.192997198879552</v>
      </c>
    </row>
    <row r="13" customFormat="false" ht="19.4" hidden="false" customHeight="false" outlineLevel="0" collapsed="false">
      <c r="A13" s="5" t="s">
        <v>273</v>
      </c>
    </row>
    <row r="14" customFormat="false" ht="30" hidden="false" customHeight="true" outlineLevel="0" collapsed="false">
      <c r="A14" s="6" t="s">
        <v>34</v>
      </c>
      <c r="B14" s="6" t="s">
        <v>35</v>
      </c>
      <c r="C14" s="6" t="s">
        <v>36</v>
      </c>
      <c r="D14" s="6" t="s">
        <v>267</v>
      </c>
      <c r="E14" s="6" t="s">
        <v>268</v>
      </c>
      <c r="F14" s="6" t="s">
        <v>269</v>
      </c>
      <c r="G14" s="6" t="s">
        <v>270</v>
      </c>
      <c r="H14" s="6" t="s">
        <v>274</v>
      </c>
    </row>
    <row r="15" customFormat="false" ht="15" hidden="false" customHeight="false" outlineLevel="0" collapsed="false">
      <c r="A15" s="11" t="str">
        <f aca="false">비용추정!A12</f>
        <v>검증 (현재 목표)</v>
      </c>
      <c r="B15" s="19" t="n">
        <f aca="false">비용추정!B12</f>
        <v>10</v>
      </c>
      <c r="C15" s="20" t="n">
        <f aca="false">비용추정!C12</f>
        <v>6</v>
      </c>
      <c r="D15" s="14" t="n">
        <f aca="false">$C15*$C$11</f>
        <v>10710</v>
      </c>
      <c r="E15" s="14" t="n">
        <f aca="false">$C15*$D$11</f>
        <v>8643</v>
      </c>
      <c r="F15" s="31" t="n">
        <f aca="false">D15-E15</f>
        <v>2067</v>
      </c>
      <c r="G15" s="48" t="n">
        <f aca="false">IFERROR(F15/D15,0)</f>
        <v>0.192997198879552</v>
      </c>
      <c r="H15" s="44" t="n">
        <f aca="false">$C15*(B9+B10)</f>
        <v>0.9</v>
      </c>
    </row>
    <row r="16" customFormat="false" ht="15" hidden="false" customHeight="false" outlineLevel="0" collapsed="false">
      <c r="A16" s="11" t="str">
        <f aca="false">비용추정!A13</f>
        <v>클로즈드 베타</v>
      </c>
      <c r="B16" s="19" t="n">
        <f aca="false">비용추정!B13</f>
        <v>50</v>
      </c>
      <c r="C16" s="20" t="n">
        <f aca="false">비용추정!C13</f>
        <v>30</v>
      </c>
      <c r="D16" s="14" t="n">
        <f aca="false">$C16*$C$11</f>
        <v>53550</v>
      </c>
      <c r="E16" s="14" t="n">
        <f aca="false">$C16*$D$11</f>
        <v>43215</v>
      </c>
      <c r="F16" s="31" t="n">
        <f aca="false">D16-E16</f>
        <v>10335</v>
      </c>
      <c r="G16" s="48" t="n">
        <f aca="false">IFERROR(F16/D16,0)</f>
        <v>0.192997198879552</v>
      </c>
      <c r="H16" s="44" t="n">
        <f aca="false">$C16*(B9+B10)</f>
        <v>4.5</v>
      </c>
    </row>
    <row r="17" customFormat="false" ht="15" hidden="false" customHeight="false" outlineLevel="0" collapsed="false">
      <c r="A17" s="11" t="str">
        <f aca="false">비용추정!A14</f>
        <v>오픈 베타</v>
      </c>
      <c r="B17" s="19" t="n">
        <f aca="false">비용추정!B14</f>
        <v>200</v>
      </c>
      <c r="C17" s="20" t="n">
        <f aca="false">비용추정!C14</f>
        <v>120</v>
      </c>
      <c r="D17" s="14" t="n">
        <f aca="false">$C17*$C$11</f>
        <v>214200</v>
      </c>
      <c r="E17" s="14" t="n">
        <f aca="false">$C17*$D$11</f>
        <v>172860</v>
      </c>
      <c r="F17" s="31" t="n">
        <f aca="false">D17-E17</f>
        <v>41340</v>
      </c>
      <c r="G17" s="48" t="n">
        <f aca="false">IFERROR(F17/D17,0)</f>
        <v>0.192997198879552</v>
      </c>
      <c r="H17" s="44" t="n">
        <f aca="false">$C17*(B9+B10)</f>
        <v>18</v>
      </c>
    </row>
    <row r="18" customFormat="false" ht="15" hidden="false" customHeight="false" outlineLevel="0" collapsed="false">
      <c r="A18" s="11" t="str">
        <f aca="false">비용추정!A15</f>
        <v>확산</v>
      </c>
      <c r="B18" s="19" t="n">
        <f aca="false">비용추정!B15</f>
        <v>500</v>
      </c>
      <c r="C18" s="20" t="n">
        <f aca="false">비용추정!C15</f>
        <v>300</v>
      </c>
      <c r="D18" s="14" t="n">
        <f aca="false">$C18*$C$11</f>
        <v>535500</v>
      </c>
      <c r="E18" s="14" t="n">
        <f aca="false">$C18*$D$11</f>
        <v>432150</v>
      </c>
      <c r="F18" s="31" t="n">
        <f aca="false">D18-E18</f>
        <v>103350</v>
      </c>
      <c r="G18" s="48" t="n">
        <f aca="false">IFERROR(F18/D18,0)</f>
        <v>0.192997198879552</v>
      </c>
      <c r="H18" s="44" t="n">
        <f aca="false">$C18*(B9+B10)</f>
        <v>45</v>
      </c>
    </row>
    <row r="19" customFormat="false" ht="15" hidden="false" customHeight="false" outlineLevel="0" collapsed="false">
      <c r="A19" s="11" t="str">
        <f aca="false">비용추정!A16</f>
        <v>확산 +</v>
      </c>
      <c r="B19" s="19" t="n">
        <f aca="false">비용추정!B16</f>
        <v>1000</v>
      </c>
      <c r="C19" s="20" t="n">
        <f aca="false">비용추정!C16</f>
        <v>600</v>
      </c>
      <c r="D19" s="14" t="n">
        <f aca="false">$C19*$C$11</f>
        <v>1071000</v>
      </c>
      <c r="E19" s="14" t="n">
        <f aca="false">$C19*$D$11</f>
        <v>864300</v>
      </c>
      <c r="F19" s="31" t="n">
        <f aca="false">D19-E19</f>
        <v>206700</v>
      </c>
      <c r="G19" s="48" t="n">
        <f aca="false">IFERROR(F19/D19,0)</f>
        <v>0.192997198879552</v>
      </c>
      <c r="H19" s="44" t="n">
        <f aca="false">$C19*(B9+B10)</f>
        <v>90</v>
      </c>
    </row>
    <row r="21" customFormat="false" ht="19.4" hidden="false" customHeight="false" outlineLevel="0" collapsed="false">
      <c r="A21" s="5" t="s">
        <v>275</v>
      </c>
    </row>
    <row r="22" customFormat="false" ht="15" hidden="false" customHeight="false" outlineLevel="0" collapsed="false">
      <c r="A22" s="3" t="s">
        <v>276</v>
      </c>
      <c r="B22" s="14" t="n">
        <f aca="false">$B$4*크레딧설계!$B$4</f>
        <v>800</v>
      </c>
    </row>
    <row r="23" customFormat="false" ht="15" hidden="false" customHeight="false" outlineLevel="0" collapsed="false">
      <c r="A23" s="3" t="s">
        <v>277</v>
      </c>
      <c r="B23" s="9" t="n">
        <f aca="false">크레딧설계!$H$44</f>
        <v>5900</v>
      </c>
    </row>
    <row r="24" customFormat="false" ht="15" hidden="false" customHeight="false" outlineLevel="0" collapsed="false">
      <c r="A24" s="3" t="s">
        <v>278</v>
      </c>
      <c r="B24" s="62" t="n">
        <f aca="false">IFERROR(B22/(B22+B23),0)</f>
        <v>0.119402985074627</v>
      </c>
    </row>
    <row r="25" customFormat="false" ht="15" hidden="false" customHeight="false" outlineLevel="0" collapsed="false">
      <c r="A25" s="3" t="s">
        <v>279</v>
      </c>
      <c r="B25" s="48" t="n">
        <f aca="false">B9+B10</f>
        <v>0.15</v>
      </c>
    </row>
    <row r="26" customFormat="false" ht="15" hidden="false" customHeight="false" outlineLevel="0" collapsed="false">
      <c r="A26" s="3" t="str">
        <f aca="false">IF(B25&gt;=B24,"현재 가정으로 흑자","적자 — 무료 크레딧을 줄이거나 원가를 내려야 함")</f>
        <v>현재 가정으로 흑자</v>
      </c>
    </row>
    <row r="28" customFormat="false" ht="15" hidden="false" customHeight="false" outlineLevel="0" collapsed="false">
      <c r="A28" s="2" t="s">
        <v>280</v>
      </c>
    </row>
    <row r="29" customFormat="false" ht="15" hidden="false" customHeight="false" outlineLevel="0" collapsed="false">
      <c r="A29" s="2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6"/>
    <col collapsed="false" customWidth="true" hidden="false" outlineLevel="0" max="6" min="6" style="0" width="30"/>
    <col collapsed="false" customWidth="true" hidden="false" outlineLevel="0" max="9" min="7" style="0" width="16"/>
  </cols>
  <sheetData>
    <row r="1" customFormat="false" ht="21.6" hidden="false" customHeight="false" outlineLevel="0" collapsed="false">
      <c r="A1" s="35" t="s">
        <v>282</v>
      </c>
    </row>
    <row r="2" customFormat="false" ht="15" hidden="false" customHeight="false" outlineLevel="0" collapsed="false">
      <c r="A2" s="2" t="s">
        <v>283</v>
      </c>
    </row>
    <row r="4" customFormat="false" ht="30" hidden="false" customHeight="true" outlineLevel="0" collapsed="false">
      <c r="A4" s="6" t="s">
        <v>36</v>
      </c>
      <c r="B4" s="6" t="s">
        <v>145</v>
      </c>
      <c r="C4" s="6" t="s">
        <v>146</v>
      </c>
      <c r="D4" s="6" t="s">
        <v>147</v>
      </c>
      <c r="F4" s="3" t="s">
        <v>284</v>
      </c>
    </row>
    <row r="5" customFormat="false" ht="30" hidden="false" customHeight="true" outlineLevel="0" collapsed="false">
      <c r="A5" s="43" t="n">
        <v>10</v>
      </c>
      <c r="B5" s="14" t="n">
        <f aca="false">$A5*비용추정!C$8</f>
        <v>48893.4</v>
      </c>
      <c r="C5" s="14" t="n">
        <f aca="false">$A5*비용추정!D$8</f>
        <v>60817.5</v>
      </c>
      <c r="D5" s="14" t="n">
        <f aca="false">$A5*비용추정!E$8</f>
        <v>88072</v>
      </c>
      <c r="F5" s="6" t="s">
        <v>285</v>
      </c>
      <c r="G5" s="6" t="s">
        <v>29</v>
      </c>
      <c r="H5" s="6" t="s">
        <v>286</v>
      </c>
    </row>
    <row r="6" customFormat="false" ht="15" hidden="false" customHeight="false" outlineLevel="0" collapsed="false">
      <c r="A6" s="43" t="n">
        <v>25</v>
      </c>
      <c r="B6" s="14" t="n">
        <f aca="false">$A6*비용추정!C$8</f>
        <v>122233.5</v>
      </c>
      <c r="C6" s="14" t="n">
        <f aca="false">$A6*비용추정!D$8</f>
        <v>152043.75</v>
      </c>
      <c r="D6" s="14" t="n">
        <f aca="false">$A6*비용추정!E$8</f>
        <v>220180</v>
      </c>
      <c r="F6" s="7" t="s">
        <v>287</v>
      </c>
      <c r="G6" s="14" t="n">
        <f aca="false">SUMPRODUCT(사용가정!$B$8:$B$10,사용가정!$C$8:$C$10)*(단가!$G$8+단가!$G$9)</f>
        <v>912</v>
      </c>
      <c r="H6" s="48" t="n">
        <f aca="false">IFERROR(G6/$G$13,0)</f>
        <v>0.149956838081144</v>
      </c>
    </row>
    <row r="7" customFormat="false" ht="15" hidden="false" customHeight="false" outlineLevel="0" collapsed="false">
      <c r="A7" s="43" t="n">
        <v>50</v>
      </c>
      <c r="B7" s="14" t="n">
        <f aca="false">$A7*비용추정!C$8</f>
        <v>244467</v>
      </c>
      <c r="C7" s="14" t="n">
        <f aca="false">$A7*비용추정!D$8</f>
        <v>304087.5</v>
      </c>
      <c r="D7" s="14" t="n">
        <f aca="false">$A7*비용추정!E$8</f>
        <v>440360</v>
      </c>
      <c r="F7" s="7" t="s">
        <v>288</v>
      </c>
      <c r="G7" s="14" t="n">
        <f aca="false">SUMPRODUCT(사용가정!$B$8:$B$10,사용가정!$E$8:$E$10)*(단가!$G$10+단가!$G$11)</f>
        <v>3519</v>
      </c>
      <c r="H7" s="48" t="n">
        <f aca="false">IFERROR(G7/$G$13,0)</f>
        <v>0.578616352201258</v>
      </c>
    </row>
    <row r="8" customFormat="false" ht="15" hidden="false" customHeight="false" outlineLevel="0" collapsed="false">
      <c r="A8" s="43" t="n">
        <v>100</v>
      </c>
      <c r="B8" s="14" t="n">
        <f aca="false">$A8*비용추정!C$8</f>
        <v>488934</v>
      </c>
      <c r="C8" s="14" t="n">
        <f aca="false">$A8*비용추정!D$8</f>
        <v>608175</v>
      </c>
      <c r="D8" s="14" t="n">
        <f aca="false">$A8*비용추정!E$8</f>
        <v>880720</v>
      </c>
      <c r="F8" s="7" t="s">
        <v>289</v>
      </c>
      <c r="G8" s="14" t="n">
        <f aca="false">SUMPRODUCT(사용가정!$B$8:$B$10,사용가정!$H$8:$H$10)*단가!$G$13</f>
        <v>799.5</v>
      </c>
      <c r="H8" s="48" t="n">
        <f aca="false">IFERROR(G8/$G$13,0)</f>
        <v>0.131458872857319</v>
      </c>
    </row>
    <row r="9" customFormat="false" ht="15" hidden="false" customHeight="false" outlineLevel="0" collapsed="false">
      <c r="A9" s="43" t="n">
        <v>200</v>
      </c>
      <c r="B9" s="14" t="n">
        <f aca="false">$A9*비용추정!C$8</f>
        <v>977868</v>
      </c>
      <c r="C9" s="14" t="n">
        <f aca="false">$A9*비용추정!D$8</f>
        <v>1216350</v>
      </c>
      <c r="D9" s="14" t="n">
        <f aca="false">$A9*비용추정!E$8</f>
        <v>1761440</v>
      </c>
      <c r="F9" s="7" t="s">
        <v>290</v>
      </c>
      <c r="G9" s="14" t="n">
        <f aca="false">SUMPRODUCT(사용가정!$B$8:$B$10,사용가정!$I$8:$I$10)*단가!$G$14</f>
        <v>495</v>
      </c>
      <c r="H9" s="48" t="n">
        <f aca="false">IFERROR(G9/$G$13,0)</f>
        <v>0.0813910469848317</v>
      </c>
    </row>
    <row r="10" customFormat="false" ht="15" hidden="false" customHeight="false" outlineLevel="0" collapsed="false">
      <c r="A10" s="43" t="n">
        <v>300</v>
      </c>
      <c r="B10" s="14" t="n">
        <f aca="false">$A10*비용추정!C$8</f>
        <v>1466802</v>
      </c>
      <c r="C10" s="14" t="n">
        <f aca="false">$A10*비용추정!D$8</f>
        <v>1824525</v>
      </c>
      <c r="D10" s="14" t="n">
        <f aca="false">$A10*비용추정!E$8</f>
        <v>2642160</v>
      </c>
      <c r="F10" s="7" t="s">
        <v>291</v>
      </c>
      <c r="G10" s="14" t="n">
        <f aca="false">SUMPRODUCT(사용가정!$B$8:$B$10,사용가정!$G$8:$G$10)*단가!$G$15</f>
        <v>150.65</v>
      </c>
      <c r="H10" s="48" t="n">
        <f aca="false">IFERROR(G10/$G$13,0)</f>
        <v>0.0247708307641715</v>
      </c>
    </row>
    <row r="11" customFormat="false" ht="15" hidden="false" customHeight="false" outlineLevel="0" collapsed="false">
      <c r="A11" s="43" t="n">
        <v>500</v>
      </c>
      <c r="B11" s="14" t="n">
        <f aca="false">$A11*비용추정!C$8</f>
        <v>2444670</v>
      </c>
      <c r="C11" s="14" t="n">
        <f aca="false">$A11*비용추정!D$8</f>
        <v>3040875</v>
      </c>
      <c r="D11" s="14" t="n">
        <f aca="false">$A11*비용추정!E$8</f>
        <v>4403600</v>
      </c>
      <c r="F11" s="7" t="s">
        <v>127</v>
      </c>
      <c r="G11" s="14" t="n">
        <f aca="false">SUMPRODUCT(사용가정!$B$8:$B$10,사용가정!$F$8:$F$10)*단가!$G$17</f>
        <v>56</v>
      </c>
      <c r="H11" s="48" t="n">
        <f aca="false">IFERROR(G11/$G$13,0)</f>
        <v>0.00920787602252641</v>
      </c>
    </row>
    <row r="12" customFormat="false" ht="15" hidden="false" customHeight="false" outlineLevel="0" collapsed="false">
      <c r="A12" s="43" t="n">
        <v>1000</v>
      </c>
      <c r="B12" s="14" t="n">
        <f aca="false">$A12*비용추정!C$8</f>
        <v>4889340</v>
      </c>
      <c r="C12" s="14" t="n">
        <f aca="false">$A12*비용추정!D$8</f>
        <v>6081750</v>
      </c>
      <c r="D12" s="14" t="n">
        <f aca="false">$A12*비용추정!E$8</f>
        <v>8807200</v>
      </c>
      <c r="F12" s="7" t="s">
        <v>24</v>
      </c>
      <c r="G12" s="14" t="n">
        <f aca="false">SUMPRODUCT(사용가정!$B$8:$B$10,사용가정!$D$8:$D$10)*단가!$G$19</f>
        <v>149.6</v>
      </c>
      <c r="H12" s="48" t="n">
        <f aca="false">IFERROR(G12/$G$13,0)</f>
        <v>0.0245981830887491</v>
      </c>
    </row>
    <row r="13" customFormat="false" ht="15" hidden="false" customHeight="false" outlineLevel="0" collapsed="false">
      <c r="F13" s="33" t="s">
        <v>292</v>
      </c>
      <c r="G13" s="63" t="n">
        <f aca="false">SUM(G6:G12)</f>
        <v>6081.75</v>
      </c>
      <c r="H13" s="58" t="n">
        <f aca="false">SUM(H6:H12)</f>
        <v>1</v>
      </c>
    </row>
    <row r="15" customFormat="false" ht="15" hidden="false" customHeight="false" outlineLevel="0" collapsed="false">
      <c r="F15" s="2" t="s">
        <v>293</v>
      </c>
    </row>
    <row r="16" customFormat="false" ht="15" hidden="false" customHeight="false" outlineLevel="0" collapsed="false">
      <c r="F16" s="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2026-08-20T11:29:04Z</dcterms:created>
  <dc:creator>openpyxl</dc:creator>
  <dc:description/>
  <dc:language>en-US</dc:language>
  <cp:lastModifiedBy/>
  <dcterms:modified xsi:type="dcterms:W3CDTF">2026-08-20T11:29:04Z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